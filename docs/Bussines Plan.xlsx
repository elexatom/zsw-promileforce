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nik\Desktop\"/>
    </mc:Choice>
  </mc:AlternateContent>
  <xr:revisionPtr revIDLastSave="0" documentId="8_{4793812D-CC57-4BC6-91A2-E1EE261AD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Implementation Tasks" sheetId="2" r:id="rId2"/>
    <sheet name="Non-Implementation Tasks" sheetId="3" r:id="rId3"/>
    <sheet name="Hardware Price" sheetId="4" r:id="rId4"/>
    <sheet name="Staffing &amp; Resources" sheetId="5" r:id="rId5"/>
    <sheet name="Yearly Payments" sheetId="6" r:id="rId6"/>
    <sheet name="Business Pl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13" i="3"/>
  <c r="M15" i="3"/>
  <c r="M9" i="3"/>
  <c r="M7" i="3"/>
  <c r="M5" i="3"/>
  <c r="M3" i="3"/>
  <c r="J15" i="3" a="1"/>
  <c r="J15" i="3" s="1"/>
  <c r="J13" i="3" a="1"/>
  <c r="J13" i="3" s="1"/>
  <c r="J11" i="3" a="1"/>
  <c r="J11" i="3"/>
  <c r="J9" i="3" a="1"/>
  <c r="J9" i="3" s="1"/>
  <c r="J7" i="3" a="1"/>
  <c r="J7" i="3"/>
  <c r="J5" i="3" a="1"/>
  <c r="J5" i="3" s="1"/>
  <c r="J3" i="3"/>
  <c r="J41" i="2" a="1"/>
  <c r="J41" i="2" s="1"/>
  <c r="J39" i="2" a="1"/>
  <c r="J39" i="2" s="1"/>
  <c r="J37" i="2" a="1"/>
  <c r="J37" i="2"/>
  <c r="J11" i="2" a="1"/>
  <c r="J11" i="2" s="1"/>
  <c r="J13" i="2" a="1"/>
  <c r="J13" i="2" s="1"/>
  <c r="J15" i="2" a="1"/>
  <c r="J15" i="2" s="1"/>
  <c r="J17" i="2" a="1"/>
  <c r="J17" i="2"/>
  <c r="J19" i="2" a="1"/>
  <c r="J19" i="2"/>
  <c r="J21" i="2" a="1"/>
  <c r="J21" i="2"/>
  <c r="J23" i="2" a="1"/>
  <c r="J23" i="2" s="1"/>
  <c r="J25" i="2" a="1"/>
  <c r="J25" i="2" s="1"/>
  <c r="J27" i="2" a="1"/>
  <c r="J27" i="2" s="1"/>
  <c r="J29" i="2" a="1"/>
  <c r="J29" i="2"/>
  <c r="J31" i="2" a="1"/>
  <c r="J31" i="2"/>
  <c r="J33" i="2" a="1"/>
  <c r="J33" i="2"/>
  <c r="J35" i="2" a="1"/>
  <c r="J35" i="2" s="1"/>
  <c r="J9" i="2" a="1"/>
  <c r="J9" i="2" s="1"/>
  <c r="J7" i="2" a="1"/>
  <c r="J7" i="2" s="1"/>
  <c r="J5" i="2" a="1"/>
  <c r="J5" i="2" s="1"/>
  <c r="J3" i="2" a="1"/>
  <c r="J3" i="2" s="1"/>
  <c r="D15" i="1" a="1"/>
  <c r="D15" i="1" s="1"/>
  <c r="D13" i="1"/>
  <c r="D9" i="1"/>
  <c r="D3" i="1"/>
  <c r="D5" i="1"/>
  <c r="M11" i="2"/>
  <c r="M13" i="2"/>
  <c r="M15" i="2"/>
  <c r="M17" i="2"/>
  <c r="M19" i="2"/>
  <c r="M21" i="2"/>
  <c r="M23" i="2"/>
  <c r="M25" i="2"/>
  <c r="M27" i="2"/>
  <c r="M29" i="2"/>
  <c r="M31" i="2"/>
  <c r="M33" i="2"/>
  <c r="M35" i="2"/>
  <c r="M37" i="2"/>
  <c r="M39" i="2"/>
  <c r="M41" i="2"/>
  <c r="M7" i="2"/>
  <c r="M9" i="2"/>
  <c r="M5" i="2"/>
  <c r="M3" i="2"/>
  <c r="J3" i="6"/>
  <c r="T43" i="2"/>
  <c r="T42" i="2" s="1"/>
  <c r="R43" i="2"/>
  <c r="J7" i="5"/>
  <c r="J5" i="5"/>
  <c r="J3" i="5"/>
  <c r="J7" i="4"/>
  <c r="J9" i="4"/>
  <c r="J5" i="4"/>
  <c r="J3" i="4"/>
  <c r="D11" i="1" l="1"/>
  <c r="D7" i="1"/>
  <c r="D17" i="1" s="1"/>
  <c r="T40" i="2"/>
  <c r="T41" i="2"/>
  <c r="U4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<sst xmlns="http://schemas.openxmlformats.org/spreadsheetml/2006/main" count="118" uniqueCount="84">
  <si>
    <t>Category</t>
  </si>
  <si>
    <t>Task</t>
  </si>
  <si>
    <t>Hours</t>
  </si>
  <si>
    <t>Cost (CZK)</t>
  </si>
  <si>
    <t>Mandays</t>
  </si>
  <si>
    <t>Hardware</t>
  </si>
  <si>
    <t>testing</t>
  </si>
  <si>
    <t>admin</t>
  </si>
  <si>
    <t>Design case</t>
  </si>
  <si>
    <t>SRS</t>
  </si>
  <si>
    <t>Encryption</t>
  </si>
  <si>
    <t>Install sensors</t>
  </si>
  <si>
    <t>Install bluetooth interface</t>
  </si>
  <si>
    <t>Software Backend</t>
  </si>
  <si>
    <t>Development</t>
  </si>
  <si>
    <t>App skeleton</t>
  </si>
  <si>
    <t xml:space="preserve">App bluetooth </t>
  </si>
  <si>
    <t>Decryption</t>
  </si>
  <si>
    <t>Data retrieval</t>
  </si>
  <si>
    <t>Data transformation</t>
  </si>
  <si>
    <t>Data collection</t>
  </si>
  <si>
    <t>Data transmission</t>
  </si>
  <si>
    <t>Software Frontend</t>
  </si>
  <si>
    <t>"Advanced" menu</t>
  </si>
  <si>
    <t>"Simple" menu</t>
  </si>
  <si>
    <t>Settings menu</t>
  </si>
  <si>
    <t>Testing</t>
  </si>
  <si>
    <t>Functional test</t>
  </si>
  <si>
    <t>Non-functional tests</t>
  </si>
  <si>
    <t>Scenario tests</t>
  </si>
  <si>
    <t>Environment set up</t>
  </si>
  <si>
    <t>Install Pi into the case</t>
  </si>
  <si>
    <t>OS installation</t>
  </si>
  <si>
    <t>Administration</t>
  </si>
  <si>
    <t>Team meetings</t>
  </si>
  <si>
    <t>Client meetings</t>
  </si>
  <si>
    <t>Bussiness plan</t>
  </si>
  <si>
    <t>Documentation</t>
  </si>
  <si>
    <t>User manual</t>
  </si>
  <si>
    <t>Troubleshooting guides</t>
  </si>
  <si>
    <t>Technical documentation</t>
  </si>
  <si>
    <t>Component</t>
  </si>
  <si>
    <t>Qty</t>
  </si>
  <si>
    <t>Total</t>
  </si>
  <si>
    <t>Raspberry Pi Zero 2 W</t>
  </si>
  <si>
    <t>URL</t>
  </si>
  <si>
    <t>Date of price check</t>
  </si>
  <si>
    <t>https://rpishop.cz/raspberry-pi-zero/4311-raspberry-pi-zero-2-w.html</t>
  </si>
  <si>
    <t>23.3.2026</t>
  </si>
  <si>
    <t>Waveshare Laser Sensor</t>
  </si>
  <si>
    <t>https://www.waveshare.com/laser-sensor.htm</t>
  </si>
  <si>
    <t>Ultrasound sensor HC-SR04</t>
  </si>
  <si>
    <t>Unit price + VAT</t>
  </si>
  <si>
    <t>Time-of-flight sensor VL53LDK</t>
  </si>
  <si>
    <t>https://allegro.cz/produkt/czujnik-odlegosci-vl53l0x-49792d4c-b92b-4d7e-b4a2-6177db786a88?offerId=9363139945&amp;utm_feed=712e6653-4749-4512-b084-b6e297fc9e0b&amp;utm_source=google&amp;utm_medium=cpc&amp;utm_campaign=CZ%3EElectro%3EHome-electro%3E3P%3EPMAX&amp;ev_campaign_id=20035822444&amp;gad</t>
  </si>
  <si>
    <t>https://rpishop.cz/vzdalenost/815-ultrazvukovy-senzor-hc-sr04.html</t>
  </si>
  <si>
    <t>Role</t>
  </si>
  <si>
    <t>Salary / month</t>
  </si>
  <si>
    <t>Utilisation</t>
  </si>
  <si>
    <t>Hrly cost</t>
  </si>
  <si>
    <t>SW Engineer Junior</t>
  </si>
  <si>
    <t>Tester</t>
  </si>
  <si>
    <t>Team leader</t>
  </si>
  <si>
    <t>SW</t>
  </si>
  <si>
    <t>Cost Item</t>
  </si>
  <si>
    <t>Maintanence</t>
  </si>
  <si>
    <t>Hours annualy</t>
  </si>
  <si>
    <t>Staff member</t>
  </si>
  <si>
    <t>Annual Cost</t>
  </si>
  <si>
    <t>Section</t>
  </si>
  <si>
    <t>Value</t>
  </si>
  <si>
    <t>Unit</t>
  </si>
  <si>
    <t>Implementation - Total hours</t>
  </si>
  <si>
    <t>Implementation - Total mandays</t>
  </si>
  <si>
    <t>Implementation - Total cost</t>
  </si>
  <si>
    <t>Hardware price</t>
  </si>
  <si>
    <t>Non-impl. Overhead - cost</t>
  </si>
  <si>
    <t>Annual operating costs</t>
  </si>
  <si>
    <t>Hourly rate (with VAT)</t>
  </si>
  <si>
    <t>5-year total price</t>
  </si>
  <si>
    <t>-</t>
  </si>
  <si>
    <t>h</t>
  </si>
  <si>
    <t>days</t>
  </si>
  <si>
    <t>CZK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</si>
</sst>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Kč-405]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auto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164" fontId="0" fillId="3" borderId="14" xfId="0" applyNumberFormat="1" applyFill="1" applyBorder="1" applyAlignment="1">
      <alignment horizontal="left" vertical="center"/>
    </xf>
    <xf numFmtId="164" fontId="0" fillId="3" borderId="17" xfId="0" applyNumberForma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39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12" xfId="0" applyNumberFormat="1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164" fontId="0" fillId="3" borderId="27" xfId="0" applyNumberFormat="1" applyFill="1" applyBorder="1" applyAlignment="1">
      <alignment horizontal="left" vertical="center"/>
    </xf>
    <xf numFmtId="164" fontId="0" fillId="3" borderId="28" xfId="0" applyNumberFormat="1" applyFill="1" applyBorder="1" applyAlignment="1">
      <alignment horizontal="left" vertical="center"/>
    </xf>
    <xf numFmtId="164" fontId="0" fillId="3" borderId="20" xfId="0" applyNumberFormat="1" applyFill="1" applyBorder="1" applyAlignment="1">
      <alignment horizontal="left" vertical="center"/>
    </xf>
    <xf numFmtId="164" fontId="0" fillId="3" borderId="29" xfId="0" applyNumberForma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164" fontId="0" fillId="5" borderId="27" xfId="0" applyNumberFormat="1" applyFill="1" applyBorder="1" applyAlignment="1">
      <alignment horizontal="left" vertical="center"/>
    </xf>
    <xf numFmtId="164" fontId="0" fillId="5" borderId="28" xfId="0" applyNumberFormat="1" applyFill="1" applyBorder="1" applyAlignment="1">
      <alignment horizontal="left" vertical="center"/>
    </xf>
    <xf numFmtId="164" fontId="0" fillId="5" borderId="20" xfId="0" applyNumberFormat="1" applyFill="1" applyBorder="1" applyAlignment="1">
      <alignment horizontal="left" vertical="center"/>
    </xf>
    <xf numFmtId="164" fontId="0" fillId="5" borderId="29" xfId="0" applyNumberFormat="1" applyFill="1" applyBorder="1" applyAlignment="1">
      <alignment horizontal="left" vertical="center"/>
    </xf>
    <xf numFmtId="164" fontId="0" fillId="0" borderId="19" xfId="0" applyNumberFormat="1" applyBorder="1" applyAlignment="1">
      <alignment horizontal="left" vertical="center"/>
    </xf>
    <xf numFmtId="164" fontId="0" fillId="0" borderId="30" xfId="0" applyNumberFormat="1" applyBorder="1" applyAlignment="1">
      <alignment horizontal="left" vertical="center"/>
    </xf>
    <xf numFmtId="164" fontId="0" fillId="0" borderId="31" xfId="0" applyNumberFormat="1" applyBorder="1" applyAlignment="1">
      <alignment horizontal="left" vertical="center"/>
    </xf>
    <xf numFmtId="164" fontId="0" fillId="0" borderId="32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  <xf numFmtId="164" fontId="0" fillId="3" borderId="15" xfId="0" applyNumberFormat="1" applyFill="1" applyBorder="1" applyAlignment="1">
      <alignment horizontal="left" vertical="center"/>
    </xf>
    <xf numFmtId="164" fontId="0" fillId="3" borderId="18" xfId="0" applyNumberForma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11" xfId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3" borderId="14" xfId="1" applyFill="1" applyBorder="1" applyAlignment="1">
      <alignment horizontal="left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3" fillId="0" borderId="8" xfId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1" xfId="0" applyNumberFormat="1" applyBorder="1" applyAlignment="1">
      <alignment horizontal="left" vertical="center"/>
    </xf>
    <xf numFmtId="10" fontId="0" fillId="0" borderId="14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33" xfId="0" applyNumberFormat="1" applyBorder="1" applyAlignment="1">
      <alignment horizontal="left" vertical="center"/>
    </xf>
    <xf numFmtId="10" fontId="0" fillId="3" borderId="14" xfId="0" applyNumberFormat="1" applyFill="1" applyBorder="1" applyAlignment="1">
      <alignment horizontal="left" vertical="center"/>
    </xf>
    <xf numFmtId="10" fontId="0" fillId="3" borderId="17" xfId="0" applyNumberFormat="1" applyFill="1" applyBorder="1" applyAlignment="1">
      <alignment horizontal="left" vertical="center"/>
    </xf>
    <xf numFmtId="164" fontId="0" fillId="3" borderId="31" xfId="0" applyNumberFormat="1" applyFill="1" applyBorder="1" applyAlignment="1">
      <alignment horizontal="left" vertical="center"/>
    </xf>
    <xf numFmtId="164" fontId="0" fillId="3" borderId="33" xfId="0" applyNumberFormat="1" applyFill="1" applyBorder="1" applyAlignment="1">
      <alignment horizontal="left" vertical="center"/>
    </xf>
    <xf numFmtId="10" fontId="0" fillId="0" borderId="8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10" fontId="0" fillId="3" borderId="27" xfId="0" applyNumberFormat="1" applyFill="1" applyBorder="1" applyAlignment="1">
      <alignment horizontal="left" vertical="center"/>
    </xf>
    <xf numFmtId="10" fontId="0" fillId="3" borderId="20" xfId="0" applyNumberFormat="1" applyFill="1" applyBorder="1" applyAlignment="1">
      <alignment horizontal="left" vertical="center"/>
    </xf>
    <xf numFmtId="10" fontId="0" fillId="0" borderId="19" xfId="0" applyNumberFormat="1" applyBorder="1" applyAlignment="1">
      <alignment horizontal="left" vertical="center"/>
    </xf>
    <xf numFmtId="10" fontId="0" fillId="0" borderId="20" xfId="0" applyNumberFormat="1" applyBorder="1" applyAlignment="1">
      <alignment horizontal="left" vertical="center"/>
    </xf>
    <xf numFmtId="164" fontId="0" fillId="0" borderId="27" xfId="0" applyNumberFormat="1" applyBorder="1" applyAlignment="1">
      <alignment horizontal="left" vertical="center"/>
    </xf>
    <xf numFmtId="164" fontId="0" fillId="0" borderId="28" xfId="0" applyNumberForma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164" fontId="0" fillId="0" borderId="20" xfId="0" applyNumberFormat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164" fontId="0" fillId="3" borderId="19" xfId="0" applyNumberForma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llegro.cz/produkt/czujnik-odlegosci-vl53l0x-49792d4c-b92b-4d7e-b4a2-6177db786a88?offerId=9363139945&amp;utm_feed=712e6653-4749-4512-b084-b6e297fc9e0b&amp;utm_source=google&amp;utm_medium=cpc&amp;utm_campaign=CZ%3EElectro%3EHome-electro%3E3P%3EPMAX&amp;ev_campaign_id=20035822444&amp;gad" TargetMode="External"/><Relationship Id="rId2" Type="http://schemas.openxmlformats.org/officeDocument/2006/relationships/hyperlink" Target="https://www.waveshare.com/laser-sensor.htm" TargetMode="External"/><Relationship Id="rId1" Type="http://schemas.openxmlformats.org/officeDocument/2006/relationships/hyperlink" Target="https://rpishop.cz/raspberry-pi-zero/4311-raspberry-pi-zero-2-w.html" TargetMode="External"/><Relationship Id="rId4" Type="http://schemas.openxmlformats.org/officeDocument/2006/relationships/hyperlink" Target="https://rpishop.cz/vzdalenost/815-ultrazvukovy-senzor-hc-sr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Q5" sqref="Q5"/>
    </sheetView>
  </sheetViews>
  <sheetFormatPr defaultRowHeight="14.4" x14ac:dyDescent="0.3"/>
  <cols>
    <col min="3" max="3" width="11" customWidth="1"/>
  </cols>
  <sheetData>
    <row r="1" spans="1:9" x14ac:dyDescent="0.3">
      <c r="A1" s="3" t="s">
        <v>69</v>
      </c>
      <c r="B1" s="4"/>
      <c r="C1" s="5"/>
      <c r="D1" s="3" t="s">
        <v>70</v>
      </c>
      <c r="E1" s="4"/>
      <c r="F1" s="5"/>
      <c r="G1" s="3" t="s">
        <v>71</v>
      </c>
      <c r="H1" s="4"/>
      <c r="I1" s="5"/>
    </row>
    <row r="2" spans="1:9" ht="15" thickBot="1" x14ac:dyDescent="0.35">
      <c r="A2" s="6"/>
      <c r="B2" s="7"/>
      <c r="C2" s="8"/>
      <c r="D2" s="6"/>
      <c r="E2" s="7"/>
      <c r="F2" s="8"/>
      <c r="G2" s="6"/>
      <c r="H2" s="7"/>
      <c r="I2" s="8"/>
    </row>
    <row r="3" spans="1:9" x14ac:dyDescent="0.3">
      <c r="A3" s="9" t="s">
        <v>72</v>
      </c>
      <c r="B3" s="10"/>
      <c r="C3" s="10"/>
      <c r="D3" s="10">
        <f>SUM('Implementation Tasks'!G3:I49)</f>
        <v>138</v>
      </c>
      <c r="E3" s="10"/>
      <c r="F3" s="10"/>
      <c r="G3" s="10" t="s">
        <v>81</v>
      </c>
      <c r="H3" s="10"/>
      <c r="I3" s="13"/>
    </row>
    <row r="4" spans="1:9" x14ac:dyDescent="0.3">
      <c r="A4" s="11"/>
      <c r="B4" s="12"/>
      <c r="C4" s="12"/>
      <c r="D4" s="12"/>
      <c r="E4" s="12"/>
      <c r="F4" s="12"/>
      <c r="G4" s="12"/>
      <c r="H4" s="12"/>
      <c r="I4" s="14"/>
    </row>
    <row r="5" spans="1:9" x14ac:dyDescent="0.3">
      <c r="A5" s="15" t="s">
        <v>73</v>
      </c>
      <c r="B5" s="16"/>
      <c r="C5" s="16"/>
      <c r="D5" s="16">
        <f>SUM('Implementation Tasks'!M3:O50)</f>
        <v>17.25</v>
      </c>
      <c r="E5" s="16"/>
      <c r="F5" s="16"/>
      <c r="G5" s="16" t="s">
        <v>82</v>
      </c>
      <c r="H5" s="16"/>
      <c r="I5" s="19"/>
    </row>
    <row r="6" spans="1:9" x14ac:dyDescent="0.3">
      <c r="A6" s="17"/>
      <c r="B6" s="18"/>
      <c r="C6" s="18"/>
      <c r="D6" s="18"/>
      <c r="E6" s="18"/>
      <c r="F6" s="18"/>
      <c r="G6" s="18"/>
      <c r="H6" s="18"/>
      <c r="I6" s="20"/>
    </row>
    <row r="7" spans="1:9" x14ac:dyDescent="0.3">
      <c r="A7" s="21" t="s">
        <v>74</v>
      </c>
      <c r="B7" s="22"/>
      <c r="C7" s="22"/>
      <c r="D7" s="23">
        <f>SUM('Implementation Tasks'!J3:L50)</f>
        <v>49562.5</v>
      </c>
      <c r="E7" s="23"/>
      <c r="F7" s="23"/>
      <c r="G7" s="22" t="s">
        <v>83</v>
      </c>
      <c r="H7" s="22"/>
      <c r="I7" s="24"/>
    </row>
    <row r="8" spans="1:9" x14ac:dyDescent="0.3">
      <c r="A8" s="21"/>
      <c r="B8" s="22"/>
      <c r="C8" s="22"/>
      <c r="D8" s="23"/>
      <c r="E8" s="23"/>
      <c r="F8" s="23"/>
      <c r="G8" s="22"/>
      <c r="H8" s="22"/>
      <c r="I8" s="24"/>
    </row>
    <row r="9" spans="1:9" x14ac:dyDescent="0.3">
      <c r="A9" s="15" t="s">
        <v>75</v>
      </c>
      <c r="B9" s="16"/>
      <c r="C9" s="16"/>
      <c r="D9" s="25">
        <f>SUM('Hardware Price'!J3:L26)</f>
        <v>907</v>
      </c>
      <c r="E9" s="25"/>
      <c r="F9" s="25"/>
      <c r="G9" s="16" t="s">
        <v>83</v>
      </c>
      <c r="H9" s="16"/>
      <c r="I9" s="19"/>
    </row>
    <row r="10" spans="1:9" x14ac:dyDescent="0.3">
      <c r="A10" s="17"/>
      <c r="B10" s="18"/>
      <c r="C10" s="18"/>
      <c r="D10" s="26"/>
      <c r="E10" s="26"/>
      <c r="F10" s="26"/>
      <c r="G10" s="18"/>
      <c r="H10" s="18"/>
      <c r="I10" s="20"/>
    </row>
    <row r="11" spans="1:9" x14ac:dyDescent="0.3">
      <c r="A11" s="21" t="s">
        <v>76</v>
      </c>
      <c r="B11" s="22"/>
      <c r="C11" s="22"/>
      <c r="D11" s="23">
        <f>SUM('Non-Implementation Tasks'!J3:L26)</f>
        <v>60487.5</v>
      </c>
      <c r="E11" s="23"/>
      <c r="F11" s="23"/>
      <c r="G11" s="22" t="s">
        <v>83</v>
      </c>
      <c r="H11" s="22"/>
      <c r="I11" s="24"/>
    </row>
    <row r="12" spans="1:9" x14ac:dyDescent="0.3">
      <c r="A12" s="21"/>
      <c r="B12" s="22"/>
      <c r="C12" s="22"/>
      <c r="D12" s="23"/>
      <c r="E12" s="23"/>
      <c r="F12" s="23"/>
      <c r="G12" s="22"/>
      <c r="H12" s="22"/>
      <c r="I12" s="24"/>
    </row>
    <row r="13" spans="1:9" x14ac:dyDescent="0.3">
      <c r="A13" s="15" t="s">
        <v>77</v>
      </c>
      <c r="B13" s="16"/>
      <c r="C13" s="16"/>
      <c r="D13" s="25">
        <f>SUM('Yearly Payments'!J3:L11)</f>
        <v>37500</v>
      </c>
      <c r="E13" s="25"/>
      <c r="F13" s="25"/>
      <c r="G13" s="16" t="s">
        <v>83</v>
      </c>
      <c r="H13" s="16"/>
      <c r="I13" s="19"/>
    </row>
    <row r="14" spans="1:9" x14ac:dyDescent="0.3">
      <c r="A14" s="17"/>
      <c r="B14" s="18"/>
      <c r="C14" s="18"/>
      <c r="D14" s="26"/>
      <c r="E14" s="26"/>
      <c r="F14" s="26"/>
      <c r="G14" s="18"/>
      <c r="H14" s="18"/>
      <c r="I14" s="20"/>
    </row>
    <row r="15" spans="1:9" x14ac:dyDescent="0.3">
      <c r="A15" s="21" t="s">
        <v>78</v>
      </c>
      <c r="B15" s="22"/>
      <c r="C15" s="22"/>
      <c r="D15" s="23" cm="1">
        <f t="array" ref="D15">SUM('Staffing &amp; Resources'!G3:I10*'Staffing &amp; Resources'!J3:L10)</f>
        <v>403.75</v>
      </c>
      <c r="E15" s="23"/>
      <c r="F15" s="23"/>
      <c r="G15" s="22" t="s">
        <v>83</v>
      </c>
      <c r="H15" s="22"/>
      <c r="I15" s="24"/>
    </row>
    <row r="16" spans="1:9" x14ac:dyDescent="0.3">
      <c r="A16" s="21"/>
      <c r="B16" s="22"/>
      <c r="C16" s="22"/>
      <c r="D16" s="23"/>
      <c r="E16" s="23"/>
      <c r="F16" s="23"/>
      <c r="G16" s="22"/>
      <c r="H16" s="22"/>
      <c r="I16" s="24"/>
    </row>
    <row r="17" spans="1:9" x14ac:dyDescent="0.3">
      <c r="A17" s="15" t="s">
        <v>79</v>
      </c>
      <c r="B17" s="16"/>
      <c r="C17" s="16"/>
      <c r="D17" s="25">
        <f>SUM(D7:F12,D13*4)</f>
        <v>260957</v>
      </c>
      <c r="E17" s="25"/>
      <c r="F17" s="25"/>
      <c r="G17" s="16" t="s">
        <v>83</v>
      </c>
      <c r="H17" s="16"/>
      <c r="I17" s="19"/>
    </row>
    <row r="18" spans="1:9" x14ac:dyDescent="0.3">
      <c r="A18" s="17"/>
      <c r="B18" s="18"/>
      <c r="C18" s="18"/>
      <c r="D18" s="26"/>
      <c r="E18" s="26"/>
      <c r="F18" s="26"/>
      <c r="G18" s="18"/>
      <c r="H18" s="18"/>
      <c r="I18" s="20"/>
    </row>
    <row r="19" spans="1:9" x14ac:dyDescent="0.3">
      <c r="A19" s="21"/>
      <c r="B19" s="22"/>
      <c r="C19" s="22"/>
      <c r="D19" s="22"/>
      <c r="E19" s="22"/>
      <c r="F19" s="22"/>
      <c r="G19" s="22"/>
      <c r="H19" s="22"/>
      <c r="I19" s="24"/>
    </row>
    <row r="20" spans="1:9" x14ac:dyDescent="0.3">
      <c r="A20" s="21"/>
      <c r="B20" s="22"/>
      <c r="C20" s="22"/>
      <c r="D20" s="22"/>
      <c r="E20" s="22"/>
      <c r="F20" s="22"/>
      <c r="G20" s="22"/>
      <c r="H20" s="22"/>
      <c r="I20" s="24"/>
    </row>
    <row r="21" spans="1:9" x14ac:dyDescent="0.3">
      <c r="A21" s="15"/>
      <c r="B21" s="16"/>
      <c r="C21" s="16"/>
      <c r="D21" s="16"/>
      <c r="E21" s="16"/>
      <c r="F21" s="16"/>
      <c r="G21" s="16"/>
      <c r="H21" s="16"/>
      <c r="I21" s="19"/>
    </row>
    <row r="22" spans="1:9" x14ac:dyDescent="0.3">
      <c r="A22" s="17"/>
      <c r="B22" s="18"/>
      <c r="C22" s="18"/>
      <c r="D22" s="18"/>
      <c r="E22" s="18"/>
      <c r="F22" s="18"/>
      <c r="G22" s="18"/>
      <c r="H22" s="18"/>
      <c r="I22" s="20"/>
    </row>
    <row r="23" spans="1:9" x14ac:dyDescent="0.3">
      <c r="A23" s="21"/>
      <c r="B23" s="22"/>
      <c r="C23" s="22"/>
      <c r="D23" s="22"/>
      <c r="E23" s="22"/>
      <c r="F23" s="22"/>
      <c r="G23" s="22"/>
      <c r="H23" s="22"/>
      <c r="I23" s="24"/>
    </row>
    <row r="24" spans="1:9" x14ac:dyDescent="0.3">
      <c r="A24" s="21"/>
      <c r="B24" s="22"/>
      <c r="C24" s="22"/>
      <c r="D24" s="22"/>
      <c r="E24" s="22"/>
      <c r="F24" s="22"/>
      <c r="G24" s="22"/>
      <c r="H24" s="22"/>
      <c r="I24" s="24"/>
    </row>
    <row r="25" spans="1:9" x14ac:dyDescent="0.3">
      <c r="A25" s="15"/>
      <c r="B25" s="16"/>
      <c r="C25" s="16"/>
      <c r="D25" s="16"/>
      <c r="E25" s="16"/>
      <c r="F25" s="16"/>
      <c r="G25" s="16"/>
      <c r="H25" s="16"/>
      <c r="I25" s="19"/>
    </row>
    <row r="26" spans="1:9" ht="15" thickBot="1" x14ac:dyDescent="0.35">
      <c r="A26" s="27"/>
      <c r="B26" s="28"/>
      <c r="C26" s="28"/>
      <c r="D26" s="28"/>
      <c r="E26" s="28"/>
      <c r="F26" s="28"/>
      <c r="G26" s="28"/>
      <c r="H26" s="28"/>
      <c r="I26" s="29"/>
    </row>
  </sheetData>
  <mergeCells count="39">
    <mergeCell ref="A25:C26"/>
    <mergeCell ref="D25:F26"/>
    <mergeCell ref="G25:I26"/>
    <mergeCell ref="A21:C22"/>
    <mergeCell ref="D21:F22"/>
    <mergeCell ref="G21:I22"/>
    <mergeCell ref="A23:C24"/>
    <mergeCell ref="D23:F24"/>
    <mergeCell ref="G23:I24"/>
    <mergeCell ref="A17:C18"/>
    <mergeCell ref="D17:F18"/>
    <mergeCell ref="G17:I18"/>
    <mergeCell ref="A19:C20"/>
    <mergeCell ref="D19:F20"/>
    <mergeCell ref="G19:I20"/>
    <mergeCell ref="A13:C14"/>
    <mergeCell ref="D13:F14"/>
    <mergeCell ref="G13:I14"/>
    <mergeCell ref="A15:C16"/>
    <mergeCell ref="D15:F16"/>
    <mergeCell ref="G15:I16"/>
    <mergeCell ref="A9:C10"/>
    <mergeCell ref="D9:F10"/>
    <mergeCell ref="G9:I10"/>
    <mergeCell ref="A11:C12"/>
    <mergeCell ref="D11:F12"/>
    <mergeCell ref="G11:I12"/>
    <mergeCell ref="A5:C6"/>
    <mergeCell ref="D5:F6"/>
    <mergeCell ref="G5:I6"/>
    <mergeCell ref="A7:C8"/>
    <mergeCell ref="D7:F8"/>
    <mergeCell ref="G7:I8"/>
    <mergeCell ref="A1:C2"/>
    <mergeCell ref="D1:F2"/>
    <mergeCell ref="G1:I2"/>
    <mergeCell ref="A3:C4"/>
    <mergeCell ref="D3:F4"/>
    <mergeCell ref="G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348F-8D32-4EA8-A42C-48724BE764F0}">
  <dimension ref="A1:AD50"/>
  <sheetViews>
    <sheetView workbookViewId="0">
      <selection activeCell="Q45" sqref="Q45"/>
    </sheetView>
  </sheetViews>
  <sheetFormatPr defaultRowHeight="14.4" x14ac:dyDescent="0.3"/>
  <cols>
    <col min="1" max="1" width="8.88671875" customWidth="1"/>
    <col min="3" max="3" width="8.88671875" customWidth="1"/>
  </cols>
  <sheetData>
    <row r="1" spans="1:30" x14ac:dyDescent="0.3">
      <c r="A1" s="3" t="s">
        <v>0</v>
      </c>
      <c r="B1" s="4"/>
      <c r="C1" s="5"/>
      <c r="D1" s="3" t="s">
        <v>1</v>
      </c>
      <c r="E1" s="4"/>
      <c r="F1" s="5"/>
      <c r="G1" s="3" t="s">
        <v>2</v>
      </c>
      <c r="H1" s="4"/>
      <c r="I1" s="5"/>
      <c r="J1" s="3" t="s">
        <v>3</v>
      </c>
      <c r="K1" s="4"/>
      <c r="L1" s="5"/>
      <c r="M1" s="3" t="s">
        <v>4</v>
      </c>
      <c r="N1" s="4"/>
      <c r="O1" s="5"/>
    </row>
    <row r="2" spans="1:30" ht="15" thickBot="1" x14ac:dyDescent="0.35">
      <c r="A2" s="6"/>
      <c r="B2" s="7"/>
      <c r="C2" s="8"/>
      <c r="D2" s="6"/>
      <c r="E2" s="7"/>
      <c r="F2" s="8"/>
      <c r="G2" s="6"/>
      <c r="H2" s="7"/>
      <c r="I2" s="8"/>
      <c r="J2" s="6"/>
      <c r="K2" s="7"/>
      <c r="L2" s="8"/>
      <c r="M2" s="6"/>
      <c r="N2" s="7"/>
      <c r="O2" s="8"/>
    </row>
    <row r="3" spans="1:30" x14ac:dyDescent="0.3">
      <c r="A3" s="9" t="s">
        <v>5</v>
      </c>
      <c r="B3" s="10"/>
      <c r="C3" s="10"/>
      <c r="D3" s="10" t="s">
        <v>31</v>
      </c>
      <c r="E3" s="10"/>
      <c r="F3" s="10"/>
      <c r="G3" s="10">
        <v>2</v>
      </c>
      <c r="H3" s="10"/>
      <c r="I3" s="10"/>
      <c r="J3" s="43" cm="1">
        <f t="array" ref="J3">SUM(G3*'Staffing &amp; Resources'!$J$3:$L$4)</f>
        <v>750</v>
      </c>
      <c r="K3" s="43"/>
      <c r="L3" s="43"/>
      <c r="M3" s="10">
        <f>G3/$S$4</f>
        <v>0.25</v>
      </c>
      <c r="N3" s="10"/>
      <c r="O3" s="13"/>
    </row>
    <row r="4" spans="1:30" x14ac:dyDescent="0.3">
      <c r="A4" s="11"/>
      <c r="B4" s="12"/>
      <c r="C4" s="12"/>
      <c r="D4" s="12"/>
      <c r="E4" s="12"/>
      <c r="F4" s="12"/>
      <c r="G4" s="12"/>
      <c r="H4" s="12"/>
      <c r="I4" s="12"/>
      <c r="J4" s="44"/>
      <c r="K4" s="44"/>
      <c r="L4" s="44"/>
      <c r="M4" s="12"/>
      <c r="N4" s="12"/>
      <c r="O4" s="14"/>
      <c r="S4">
        <v>8</v>
      </c>
    </row>
    <row r="5" spans="1:30" x14ac:dyDescent="0.3">
      <c r="A5" s="15" t="s">
        <v>5</v>
      </c>
      <c r="B5" s="16"/>
      <c r="C5" s="16"/>
      <c r="D5" s="16" t="s">
        <v>11</v>
      </c>
      <c r="E5" s="16"/>
      <c r="F5" s="16"/>
      <c r="G5" s="16">
        <v>2</v>
      </c>
      <c r="H5" s="16"/>
      <c r="I5" s="16"/>
      <c r="J5" s="25" cm="1">
        <f t="array" ref="J5">SUM(G5*'Staffing &amp; Resources'!$J$3:$L$4)</f>
        <v>750</v>
      </c>
      <c r="K5" s="25"/>
      <c r="L5" s="25"/>
      <c r="M5" s="38">
        <f>G5/$S$4</f>
        <v>0.25</v>
      </c>
      <c r="N5" s="38"/>
      <c r="O5" s="39"/>
    </row>
    <row r="6" spans="1:30" x14ac:dyDescent="0.3">
      <c r="A6" s="17"/>
      <c r="B6" s="18"/>
      <c r="C6" s="18"/>
      <c r="D6" s="18"/>
      <c r="E6" s="18"/>
      <c r="F6" s="18"/>
      <c r="G6" s="18"/>
      <c r="H6" s="18"/>
      <c r="I6" s="18"/>
      <c r="J6" s="26"/>
      <c r="K6" s="26"/>
      <c r="L6" s="26"/>
      <c r="M6" s="45"/>
      <c r="N6" s="45"/>
      <c r="O6" s="46"/>
    </row>
    <row r="7" spans="1:30" x14ac:dyDescent="0.3">
      <c r="A7" s="21" t="s">
        <v>5</v>
      </c>
      <c r="B7" s="22"/>
      <c r="C7" s="22"/>
      <c r="D7" s="22" t="s">
        <v>12</v>
      </c>
      <c r="E7" s="22"/>
      <c r="F7" s="22"/>
      <c r="G7" s="22">
        <v>2</v>
      </c>
      <c r="H7" s="22"/>
      <c r="I7" s="22"/>
      <c r="J7" s="23" cm="1">
        <f t="array" ref="J7">SUM(G7*'Staffing &amp; Resources'!$J$3:$L$4)</f>
        <v>750</v>
      </c>
      <c r="K7" s="23"/>
      <c r="L7" s="23"/>
      <c r="M7" s="12">
        <f>G7/$S$4</f>
        <v>0.25</v>
      </c>
      <c r="N7" s="12"/>
      <c r="O7" s="14"/>
    </row>
    <row r="8" spans="1:30" x14ac:dyDescent="0.3">
      <c r="A8" s="21"/>
      <c r="B8" s="22"/>
      <c r="C8" s="22"/>
      <c r="D8" s="22"/>
      <c r="E8" s="22"/>
      <c r="F8" s="22"/>
      <c r="G8" s="22"/>
      <c r="H8" s="22"/>
      <c r="I8" s="22"/>
      <c r="J8" s="23"/>
      <c r="K8" s="23"/>
      <c r="L8" s="23"/>
      <c r="M8" s="12"/>
      <c r="N8" s="12"/>
      <c r="O8" s="14"/>
    </row>
    <row r="9" spans="1:30" x14ac:dyDescent="0.3">
      <c r="A9" s="15" t="s">
        <v>5</v>
      </c>
      <c r="B9" s="16"/>
      <c r="C9" s="16"/>
      <c r="D9" s="16" t="s">
        <v>32</v>
      </c>
      <c r="E9" s="16"/>
      <c r="F9" s="16"/>
      <c r="G9" s="16">
        <v>4</v>
      </c>
      <c r="H9" s="16"/>
      <c r="I9" s="16"/>
      <c r="J9" s="25" cm="1">
        <f t="array" ref="J9">SUM(G9*'Staffing &amp; Resources'!$J$3:$L$4)</f>
        <v>1500</v>
      </c>
      <c r="K9" s="25"/>
      <c r="L9" s="25"/>
      <c r="M9" s="38">
        <f>G9/$S$4</f>
        <v>0.5</v>
      </c>
      <c r="N9" s="38"/>
      <c r="O9" s="39"/>
    </row>
    <row r="10" spans="1:30" x14ac:dyDescent="0.3">
      <c r="A10" s="17"/>
      <c r="B10" s="18"/>
      <c r="C10" s="18"/>
      <c r="D10" s="18"/>
      <c r="E10" s="18"/>
      <c r="F10" s="18"/>
      <c r="G10" s="18"/>
      <c r="H10" s="18"/>
      <c r="I10" s="18"/>
      <c r="J10" s="26"/>
      <c r="K10" s="26"/>
      <c r="L10" s="26"/>
      <c r="M10" s="37"/>
      <c r="N10" s="37"/>
      <c r="O10" s="40"/>
    </row>
    <row r="11" spans="1:30" x14ac:dyDescent="0.3">
      <c r="A11" s="21" t="s">
        <v>14</v>
      </c>
      <c r="B11" s="22"/>
      <c r="C11" s="22"/>
      <c r="D11" s="22" t="s">
        <v>30</v>
      </c>
      <c r="E11" s="22"/>
      <c r="F11" s="22"/>
      <c r="G11" s="22">
        <v>20</v>
      </c>
      <c r="H11" s="22"/>
      <c r="I11" s="22"/>
      <c r="J11" s="23" cm="1">
        <f t="array" ref="J11">SUM(G11*'Staffing &amp; Resources'!$J$3:$L$4)</f>
        <v>7500</v>
      </c>
      <c r="K11" s="23"/>
      <c r="L11" s="23"/>
      <c r="M11" s="12">
        <f t="shared" ref="M11" si="0">G11/$S$4</f>
        <v>2.5</v>
      </c>
      <c r="N11" s="12"/>
      <c r="O11" s="14"/>
    </row>
    <row r="12" spans="1:30" x14ac:dyDescent="0.3">
      <c r="A12" s="21"/>
      <c r="B12" s="22"/>
      <c r="C12" s="22"/>
      <c r="D12" s="22"/>
      <c r="E12" s="22"/>
      <c r="F12" s="22"/>
      <c r="G12" s="22"/>
      <c r="H12" s="22"/>
      <c r="I12" s="22"/>
      <c r="J12" s="23"/>
      <c r="K12" s="23"/>
      <c r="L12" s="23"/>
      <c r="M12" s="12"/>
      <c r="N12" s="12"/>
      <c r="O12" s="14"/>
    </row>
    <row r="13" spans="1:30" x14ac:dyDescent="0.3">
      <c r="A13" s="41" t="s">
        <v>14</v>
      </c>
      <c r="B13" s="42"/>
      <c r="C13" s="42"/>
      <c r="D13" s="42" t="s">
        <v>8</v>
      </c>
      <c r="E13" s="42"/>
      <c r="F13" s="42"/>
      <c r="G13" s="42">
        <v>10</v>
      </c>
      <c r="H13" s="42"/>
      <c r="I13" s="42"/>
      <c r="J13" s="25" cm="1">
        <f t="array" ref="J13">SUM(G13*'Staffing &amp; Resources'!$J$3:$L$4)</f>
        <v>3750</v>
      </c>
      <c r="K13" s="25"/>
      <c r="L13" s="25"/>
      <c r="M13" s="38">
        <f t="shared" ref="M13" si="1">G13/$S$4</f>
        <v>1.25</v>
      </c>
      <c r="N13" s="38"/>
      <c r="O13" s="39"/>
    </row>
    <row r="14" spans="1:30" x14ac:dyDescent="0.3">
      <c r="A14" s="41"/>
      <c r="B14" s="42"/>
      <c r="C14" s="42"/>
      <c r="D14" s="42"/>
      <c r="E14" s="42"/>
      <c r="F14" s="42"/>
      <c r="G14" s="42"/>
      <c r="H14" s="42"/>
      <c r="I14" s="42"/>
      <c r="J14" s="26"/>
      <c r="K14" s="26"/>
      <c r="L14" s="26"/>
      <c r="M14" s="37"/>
      <c r="N14" s="37"/>
      <c r="O14" s="40"/>
      <c r="U14" s="1"/>
      <c r="X14" s="1"/>
      <c r="Y14" s="1"/>
      <c r="AA14" s="1"/>
      <c r="AD14" s="1"/>
    </row>
    <row r="15" spans="1:30" x14ac:dyDescent="0.3">
      <c r="A15" s="21" t="s">
        <v>13</v>
      </c>
      <c r="B15" s="22"/>
      <c r="C15" s="22"/>
      <c r="D15" s="22" t="s">
        <v>15</v>
      </c>
      <c r="E15" s="22"/>
      <c r="F15" s="22"/>
      <c r="G15" s="22">
        <v>5</v>
      </c>
      <c r="H15" s="22"/>
      <c r="I15" s="22"/>
      <c r="J15" s="23" cm="1">
        <f t="array" ref="J15">SUM(G15*'Staffing &amp; Resources'!$J$3:$L$4)</f>
        <v>1875</v>
      </c>
      <c r="K15" s="23"/>
      <c r="L15" s="23"/>
      <c r="M15" s="12">
        <f t="shared" ref="M15" si="2">G15/$S$4</f>
        <v>0.625</v>
      </c>
      <c r="N15" s="12"/>
      <c r="O15" s="14"/>
    </row>
    <row r="16" spans="1:30" x14ac:dyDescent="0.3">
      <c r="A16" s="21"/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12"/>
      <c r="N16" s="12"/>
      <c r="O16" s="14"/>
    </row>
    <row r="17" spans="1:15" x14ac:dyDescent="0.3">
      <c r="A17" s="41" t="s">
        <v>13</v>
      </c>
      <c r="B17" s="42"/>
      <c r="C17" s="42"/>
      <c r="D17" s="42" t="s">
        <v>16</v>
      </c>
      <c r="E17" s="42"/>
      <c r="F17" s="42"/>
      <c r="G17" s="42">
        <v>5</v>
      </c>
      <c r="H17" s="42"/>
      <c r="I17" s="42"/>
      <c r="J17" s="25" cm="1">
        <f t="array" ref="J17">SUM(G17*'Staffing &amp; Resources'!$J$3:$L$4)</f>
        <v>1875</v>
      </c>
      <c r="K17" s="25"/>
      <c r="L17" s="25"/>
      <c r="M17" s="38">
        <f t="shared" ref="M17" si="3">G17/$S$4</f>
        <v>0.625</v>
      </c>
      <c r="N17" s="38"/>
      <c r="O17" s="39"/>
    </row>
    <row r="18" spans="1:15" x14ac:dyDescent="0.3">
      <c r="A18" s="41"/>
      <c r="B18" s="42"/>
      <c r="C18" s="42"/>
      <c r="D18" s="42"/>
      <c r="E18" s="42"/>
      <c r="F18" s="42"/>
      <c r="G18" s="42"/>
      <c r="H18" s="42"/>
      <c r="I18" s="42"/>
      <c r="J18" s="26"/>
      <c r="K18" s="26"/>
      <c r="L18" s="26"/>
      <c r="M18" s="37"/>
      <c r="N18" s="37"/>
      <c r="O18" s="40"/>
    </row>
    <row r="19" spans="1:15" x14ac:dyDescent="0.3">
      <c r="A19" s="30" t="s">
        <v>13</v>
      </c>
      <c r="B19" s="31"/>
      <c r="C19" s="31"/>
      <c r="D19" s="31" t="s">
        <v>18</v>
      </c>
      <c r="E19" s="31"/>
      <c r="F19" s="31"/>
      <c r="G19" s="31">
        <v>2</v>
      </c>
      <c r="H19" s="31"/>
      <c r="I19" s="31"/>
      <c r="J19" s="23" cm="1">
        <f t="array" ref="J19">SUM(G19*'Staffing &amp; Resources'!$J$3:$L$4)</f>
        <v>750</v>
      </c>
      <c r="K19" s="23"/>
      <c r="L19" s="23"/>
      <c r="M19" s="12">
        <f t="shared" ref="M19" si="4">G19/$S$4</f>
        <v>0.25</v>
      </c>
      <c r="N19" s="12"/>
      <c r="O19" s="14"/>
    </row>
    <row r="20" spans="1:15" x14ac:dyDescent="0.3">
      <c r="A20" s="32"/>
      <c r="B20" s="33"/>
      <c r="C20" s="33"/>
      <c r="D20" s="33"/>
      <c r="E20" s="33"/>
      <c r="F20" s="33"/>
      <c r="G20" s="33"/>
      <c r="H20" s="33"/>
      <c r="I20" s="33"/>
      <c r="J20" s="23"/>
      <c r="K20" s="23"/>
      <c r="L20" s="23"/>
      <c r="M20" s="12"/>
      <c r="N20" s="12"/>
      <c r="O20" s="14"/>
    </row>
    <row r="21" spans="1:15" x14ac:dyDescent="0.3">
      <c r="A21" s="34" t="s">
        <v>13</v>
      </c>
      <c r="B21" s="35"/>
      <c r="C21" s="35"/>
      <c r="D21" s="35" t="s">
        <v>17</v>
      </c>
      <c r="E21" s="35"/>
      <c r="F21" s="35"/>
      <c r="G21" s="35">
        <v>2</v>
      </c>
      <c r="H21" s="35"/>
      <c r="I21" s="35"/>
      <c r="J21" s="25" cm="1">
        <f t="array" ref="J21">SUM(G21*'Staffing &amp; Resources'!$J$3:$L$4)</f>
        <v>750</v>
      </c>
      <c r="K21" s="25"/>
      <c r="L21" s="25"/>
      <c r="M21" s="38">
        <f t="shared" ref="M21" si="5">G21/$S$4</f>
        <v>0.25</v>
      </c>
      <c r="N21" s="38"/>
      <c r="O21" s="39"/>
    </row>
    <row r="22" spans="1:15" x14ac:dyDescent="0.3">
      <c r="A22" s="36"/>
      <c r="B22" s="37"/>
      <c r="C22" s="37"/>
      <c r="D22" s="37"/>
      <c r="E22" s="37"/>
      <c r="F22" s="37"/>
      <c r="G22" s="37"/>
      <c r="H22" s="37"/>
      <c r="I22" s="37"/>
      <c r="J22" s="26"/>
      <c r="K22" s="26"/>
      <c r="L22" s="26"/>
      <c r="M22" s="37"/>
      <c r="N22" s="37"/>
      <c r="O22" s="40"/>
    </row>
    <row r="23" spans="1:15" x14ac:dyDescent="0.3">
      <c r="A23" s="30" t="s">
        <v>13</v>
      </c>
      <c r="B23" s="31"/>
      <c r="C23" s="31"/>
      <c r="D23" s="31" t="s">
        <v>19</v>
      </c>
      <c r="E23" s="31"/>
      <c r="F23" s="31"/>
      <c r="G23" s="31">
        <v>2</v>
      </c>
      <c r="H23" s="31"/>
      <c r="I23" s="31"/>
      <c r="J23" s="23" cm="1">
        <f t="array" ref="J23">SUM(G23*'Staffing &amp; Resources'!$J$3:$L$4)</f>
        <v>750</v>
      </c>
      <c r="K23" s="23"/>
      <c r="L23" s="23"/>
      <c r="M23" s="12">
        <f t="shared" ref="M23" si="6">G23/$S$4</f>
        <v>0.25</v>
      </c>
      <c r="N23" s="12"/>
      <c r="O23" s="14"/>
    </row>
    <row r="24" spans="1:15" x14ac:dyDescent="0.3">
      <c r="A24" s="32"/>
      <c r="B24" s="33"/>
      <c r="C24" s="33"/>
      <c r="D24" s="33"/>
      <c r="E24" s="33"/>
      <c r="F24" s="33"/>
      <c r="G24" s="33"/>
      <c r="H24" s="33"/>
      <c r="I24" s="33"/>
      <c r="J24" s="23"/>
      <c r="K24" s="23"/>
      <c r="L24" s="23"/>
      <c r="M24" s="12"/>
      <c r="N24" s="12"/>
      <c r="O24" s="14"/>
    </row>
    <row r="25" spans="1:15" x14ac:dyDescent="0.3">
      <c r="A25" s="34" t="s">
        <v>13</v>
      </c>
      <c r="B25" s="35"/>
      <c r="C25" s="35"/>
      <c r="D25" s="35" t="s">
        <v>20</v>
      </c>
      <c r="E25" s="35"/>
      <c r="F25" s="35"/>
      <c r="G25" s="35">
        <v>5</v>
      </c>
      <c r="H25" s="35"/>
      <c r="I25" s="35"/>
      <c r="J25" s="25" cm="1">
        <f t="array" ref="J25">SUM(G25*'Staffing &amp; Resources'!$J$3:$L$4)</f>
        <v>1875</v>
      </c>
      <c r="K25" s="25"/>
      <c r="L25" s="25"/>
      <c r="M25" s="38">
        <f t="shared" ref="M25" si="7">G25/$S$4</f>
        <v>0.625</v>
      </c>
      <c r="N25" s="38"/>
      <c r="O25" s="39"/>
    </row>
    <row r="26" spans="1:15" x14ac:dyDescent="0.3">
      <c r="A26" s="36"/>
      <c r="B26" s="37"/>
      <c r="C26" s="37"/>
      <c r="D26" s="37"/>
      <c r="E26" s="37"/>
      <c r="F26" s="37"/>
      <c r="G26" s="37"/>
      <c r="H26" s="37"/>
      <c r="I26" s="37"/>
      <c r="J26" s="26"/>
      <c r="K26" s="26"/>
      <c r="L26" s="26"/>
      <c r="M26" s="37"/>
      <c r="N26" s="37"/>
      <c r="O26" s="40"/>
    </row>
    <row r="27" spans="1:15" x14ac:dyDescent="0.3">
      <c r="A27" s="30" t="s">
        <v>13</v>
      </c>
      <c r="B27" s="31"/>
      <c r="C27" s="31"/>
      <c r="D27" s="31" t="s">
        <v>10</v>
      </c>
      <c r="E27" s="31"/>
      <c r="F27" s="31"/>
      <c r="G27" s="31">
        <v>2</v>
      </c>
      <c r="H27" s="31"/>
      <c r="I27" s="31"/>
      <c r="J27" s="23" cm="1">
        <f t="array" ref="J27">SUM(G27*'Staffing &amp; Resources'!$J$3:$L$4)</f>
        <v>750</v>
      </c>
      <c r="K27" s="23"/>
      <c r="L27" s="23"/>
      <c r="M27" s="12">
        <f t="shared" ref="M27" si="8">G27/$S$4</f>
        <v>0.25</v>
      </c>
      <c r="N27" s="12"/>
      <c r="O27" s="14"/>
    </row>
    <row r="28" spans="1:15" x14ac:dyDescent="0.3">
      <c r="A28" s="32"/>
      <c r="B28" s="33"/>
      <c r="C28" s="33"/>
      <c r="D28" s="33"/>
      <c r="E28" s="33"/>
      <c r="F28" s="33"/>
      <c r="G28" s="33"/>
      <c r="H28" s="33"/>
      <c r="I28" s="33"/>
      <c r="J28" s="23"/>
      <c r="K28" s="23"/>
      <c r="L28" s="23"/>
      <c r="M28" s="12"/>
      <c r="N28" s="12"/>
      <c r="O28" s="14"/>
    </row>
    <row r="29" spans="1:15" x14ac:dyDescent="0.3">
      <c r="A29" s="34" t="s">
        <v>13</v>
      </c>
      <c r="B29" s="35"/>
      <c r="C29" s="35"/>
      <c r="D29" s="35" t="s">
        <v>21</v>
      </c>
      <c r="E29" s="35"/>
      <c r="F29" s="35"/>
      <c r="G29" s="35">
        <v>10</v>
      </c>
      <c r="H29" s="35"/>
      <c r="I29" s="35"/>
      <c r="J29" s="25" cm="1">
        <f t="array" ref="J29">SUM(G29*'Staffing &amp; Resources'!$J$3:$L$4)</f>
        <v>3750</v>
      </c>
      <c r="K29" s="25"/>
      <c r="L29" s="25"/>
      <c r="M29" s="38">
        <f t="shared" ref="M29" si="9">G29/$S$4</f>
        <v>1.25</v>
      </c>
      <c r="N29" s="38"/>
      <c r="O29" s="39"/>
    </row>
    <row r="30" spans="1:15" x14ac:dyDescent="0.3">
      <c r="A30" s="36"/>
      <c r="B30" s="37"/>
      <c r="C30" s="37"/>
      <c r="D30" s="37"/>
      <c r="E30" s="37"/>
      <c r="F30" s="37"/>
      <c r="G30" s="37"/>
      <c r="H30" s="37"/>
      <c r="I30" s="37"/>
      <c r="J30" s="26"/>
      <c r="K30" s="26"/>
      <c r="L30" s="26"/>
      <c r="M30" s="37"/>
      <c r="N30" s="37"/>
      <c r="O30" s="40"/>
    </row>
    <row r="31" spans="1:15" x14ac:dyDescent="0.3">
      <c r="A31" s="30" t="s">
        <v>22</v>
      </c>
      <c r="B31" s="31"/>
      <c r="C31" s="31"/>
      <c r="D31" s="31" t="s">
        <v>23</v>
      </c>
      <c r="E31" s="31"/>
      <c r="F31" s="31"/>
      <c r="G31" s="31">
        <v>15</v>
      </c>
      <c r="H31" s="31"/>
      <c r="I31" s="31"/>
      <c r="J31" s="23" cm="1">
        <f t="array" ref="J31">SUM(G31*'Staffing &amp; Resources'!$J$3:$L$4)</f>
        <v>5625</v>
      </c>
      <c r="K31" s="23"/>
      <c r="L31" s="23"/>
      <c r="M31" s="12">
        <f t="shared" ref="M31" si="10">G31/$S$4</f>
        <v>1.875</v>
      </c>
      <c r="N31" s="12"/>
      <c r="O31" s="14"/>
    </row>
    <row r="32" spans="1:15" x14ac:dyDescent="0.3">
      <c r="A32" s="32"/>
      <c r="B32" s="33"/>
      <c r="C32" s="33"/>
      <c r="D32" s="33"/>
      <c r="E32" s="33"/>
      <c r="F32" s="33"/>
      <c r="G32" s="33"/>
      <c r="H32" s="33"/>
      <c r="I32" s="33"/>
      <c r="J32" s="23"/>
      <c r="K32" s="23"/>
      <c r="L32" s="23"/>
      <c r="M32" s="12"/>
      <c r="N32" s="12"/>
      <c r="O32" s="14"/>
    </row>
    <row r="33" spans="1:21" x14ac:dyDescent="0.3">
      <c r="A33" s="34" t="s">
        <v>22</v>
      </c>
      <c r="B33" s="35"/>
      <c r="C33" s="35"/>
      <c r="D33" s="35" t="s">
        <v>24</v>
      </c>
      <c r="E33" s="35"/>
      <c r="F33" s="35"/>
      <c r="G33" s="35">
        <v>10</v>
      </c>
      <c r="H33" s="35"/>
      <c r="I33" s="35"/>
      <c r="J33" s="25" cm="1">
        <f t="array" ref="J33">SUM(G33*'Staffing &amp; Resources'!$J$3:$L$4)</f>
        <v>3750</v>
      </c>
      <c r="K33" s="25"/>
      <c r="L33" s="25"/>
      <c r="M33" s="38">
        <f t="shared" ref="M33" si="11">G33/$S$4</f>
        <v>1.25</v>
      </c>
      <c r="N33" s="38"/>
      <c r="O33" s="39"/>
    </row>
    <row r="34" spans="1:21" x14ac:dyDescent="0.3">
      <c r="A34" s="36"/>
      <c r="B34" s="37"/>
      <c r="C34" s="37"/>
      <c r="D34" s="37"/>
      <c r="E34" s="37"/>
      <c r="F34" s="37"/>
      <c r="G34" s="37"/>
      <c r="H34" s="37"/>
      <c r="I34" s="37"/>
      <c r="J34" s="26"/>
      <c r="K34" s="26"/>
      <c r="L34" s="26"/>
      <c r="M34" s="37"/>
      <c r="N34" s="37"/>
      <c r="O34" s="40"/>
    </row>
    <row r="35" spans="1:21" x14ac:dyDescent="0.3">
      <c r="A35" s="30" t="s">
        <v>22</v>
      </c>
      <c r="B35" s="31"/>
      <c r="C35" s="31"/>
      <c r="D35" s="31" t="s">
        <v>25</v>
      </c>
      <c r="E35" s="31"/>
      <c r="F35" s="31"/>
      <c r="G35" s="31">
        <v>5</v>
      </c>
      <c r="H35" s="31"/>
      <c r="I35" s="31"/>
      <c r="J35" s="23" cm="1">
        <f t="array" ref="J35">SUM(G35*'Staffing &amp; Resources'!$J$3:$L$4)</f>
        <v>1875</v>
      </c>
      <c r="K35" s="23"/>
      <c r="L35" s="23"/>
      <c r="M35" s="12">
        <f t="shared" ref="M35" si="12">G35/$S$4</f>
        <v>0.625</v>
      </c>
      <c r="N35" s="12"/>
      <c r="O35" s="14"/>
    </row>
    <row r="36" spans="1:21" x14ac:dyDescent="0.3">
      <c r="A36" s="32"/>
      <c r="B36" s="33"/>
      <c r="C36" s="33"/>
      <c r="D36" s="33"/>
      <c r="E36" s="33"/>
      <c r="F36" s="33"/>
      <c r="G36" s="33"/>
      <c r="H36" s="33"/>
      <c r="I36" s="33"/>
      <c r="J36" s="23"/>
      <c r="K36" s="23"/>
      <c r="L36" s="23"/>
      <c r="M36" s="12"/>
      <c r="N36" s="12"/>
      <c r="O36" s="14"/>
    </row>
    <row r="37" spans="1:21" x14ac:dyDescent="0.3">
      <c r="A37" s="34" t="s">
        <v>26</v>
      </c>
      <c r="B37" s="35"/>
      <c r="C37" s="35"/>
      <c r="D37" s="35" t="s">
        <v>27</v>
      </c>
      <c r="E37" s="35"/>
      <c r="F37" s="35"/>
      <c r="G37" s="35">
        <v>10</v>
      </c>
      <c r="H37" s="35"/>
      <c r="I37" s="35"/>
      <c r="J37" s="25" cm="1">
        <f t="array" ref="J37">SUM(G37*'Staffing &amp; Resources'!$J$5:$L$6)</f>
        <v>3125</v>
      </c>
      <c r="K37" s="25"/>
      <c r="L37" s="25"/>
      <c r="M37" s="38">
        <f t="shared" ref="M37" si="13">G37/$S$4</f>
        <v>1.25</v>
      </c>
      <c r="N37" s="38"/>
      <c r="O37" s="39"/>
    </row>
    <row r="38" spans="1:21" x14ac:dyDescent="0.3">
      <c r="A38" s="36"/>
      <c r="B38" s="37"/>
      <c r="C38" s="37"/>
      <c r="D38" s="37"/>
      <c r="E38" s="37"/>
      <c r="F38" s="37"/>
      <c r="G38" s="37"/>
      <c r="H38" s="37"/>
      <c r="I38" s="37"/>
      <c r="J38" s="26"/>
      <c r="K38" s="26"/>
      <c r="L38" s="26"/>
      <c r="M38" s="37"/>
      <c r="N38" s="37"/>
      <c r="O38" s="40"/>
    </row>
    <row r="39" spans="1:21" x14ac:dyDescent="0.3">
      <c r="A39" s="30" t="s">
        <v>26</v>
      </c>
      <c r="B39" s="31"/>
      <c r="C39" s="31"/>
      <c r="D39" s="31" t="s">
        <v>28</v>
      </c>
      <c r="E39" s="31"/>
      <c r="F39" s="31"/>
      <c r="G39" s="31">
        <v>10</v>
      </c>
      <c r="H39" s="31"/>
      <c r="I39" s="31"/>
      <c r="J39" s="23" cm="1">
        <f t="array" ref="J39">SUM(G39*'Staffing &amp; Resources'!$J$5:$L$6)</f>
        <v>3125</v>
      </c>
      <c r="K39" s="23"/>
      <c r="L39" s="23"/>
      <c r="M39" s="12">
        <f t="shared" ref="M39" si="14">G39/$S$4</f>
        <v>1.25</v>
      </c>
      <c r="N39" s="12"/>
      <c r="O39" s="14"/>
    </row>
    <row r="40" spans="1:21" x14ac:dyDescent="0.3">
      <c r="A40" s="32"/>
      <c r="B40" s="33"/>
      <c r="C40" s="33"/>
      <c r="D40" s="33"/>
      <c r="E40" s="33"/>
      <c r="F40" s="33"/>
      <c r="G40" s="33"/>
      <c r="H40" s="33"/>
      <c r="I40" s="33"/>
      <c r="J40" s="23"/>
      <c r="K40" s="23"/>
      <c r="L40" s="23"/>
      <c r="M40" s="12"/>
      <c r="N40" s="12"/>
      <c r="O40" s="14"/>
      <c r="Q40" t="s">
        <v>6</v>
      </c>
      <c r="R40">
        <v>65</v>
      </c>
      <c r="T40">
        <f>R40/T43</f>
        <v>22.887323943661972</v>
      </c>
    </row>
    <row r="41" spans="1:21" x14ac:dyDescent="0.3">
      <c r="A41" s="34" t="s">
        <v>26</v>
      </c>
      <c r="B41" s="35"/>
      <c r="C41" s="35"/>
      <c r="D41" s="35" t="s">
        <v>29</v>
      </c>
      <c r="E41" s="35"/>
      <c r="F41" s="35"/>
      <c r="G41" s="35">
        <v>15</v>
      </c>
      <c r="H41" s="35"/>
      <c r="I41" s="35"/>
      <c r="J41" s="25" cm="1">
        <f t="array" ref="J41">SUM(G41*'Staffing &amp; Resources'!$J$5:$L$6)</f>
        <v>4687.5</v>
      </c>
      <c r="K41" s="25"/>
      <c r="L41" s="25"/>
      <c r="M41" s="38">
        <f t="shared" ref="M41" si="15">G41/$S$4</f>
        <v>1.875</v>
      </c>
      <c r="N41" s="38"/>
      <c r="O41" s="39"/>
      <c r="Q41" t="s">
        <v>63</v>
      </c>
      <c r="R41">
        <v>153</v>
      </c>
      <c r="T41">
        <f>R41/T43</f>
        <v>53.87323943661972</v>
      </c>
    </row>
    <row r="42" spans="1:21" x14ac:dyDescent="0.3">
      <c r="A42" s="36"/>
      <c r="B42" s="37"/>
      <c r="C42" s="37"/>
      <c r="D42" s="37"/>
      <c r="E42" s="37"/>
      <c r="F42" s="37"/>
      <c r="G42" s="37"/>
      <c r="H42" s="37"/>
      <c r="I42" s="37"/>
      <c r="J42" s="26"/>
      <c r="K42" s="26"/>
      <c r="L42" s="26"/>
      <c r="M42" s="37"/>
      <c r="N42" s="37"/>
      <c r="O42" s="40"/>
      <c r="Q42" t="s">
        <v>7</v>
      </c>
      <c r="R42">
        <v>66</v>
      </c>
      <c r="T42">
        <f>R42/T43</f>
        <v>23.239436619718312</v>
      </c>
    </row>
    <row r="43" spans="1:21" x14ac:dyDescent="0.3">
      <c r="A43" s="30"/>
      <c r="B43" s="31"/>
      <c r="C43" s="31"/>
      <c r="D43" s="31"/>
      <c r="E43" s="31"/>
      <c r="F43" s="31"/>
      <c r="G43" s="31"/>
      <c r="H43" s="31"/>
      <c r="I43" s="31"/>
      <c r="J43" s="23"/>
      <c r="K43" s="22"/>
      <c r="L43" s="22"/>
      <c r="M43" s="12"/>
      <c r="N43" s="12"/>
      <c r="O43" s="14"/>
      <c r="R43">
        <f>SUM(R40,R41,R42)</f>
        <v>284</v>
      </c>
      <c r="T43">
        <f>284/100</f>
        <v>2.84</v>
      </c>
      <c r="U43">
        <f>SUM(T40,T41,T42)</f>
        <v>100</v>
      </c>
    </row>
    <row r="44" spans="1:21" x14ac:dyDescent="0.3">
      <c r="A44" s="32"/>
      <c r="B44" s="33"/>
      <c r="C44" s="33"/>
      <c r="D44" s="33"/>
      <c r="E44" s="33"/>
      <c r="F44" s="33"/>
      <c r="G44" s="33"/>
      <c r="H44" s="33"/>
      <c r="I44" s="33"/>
      <c r="J44" s="22"/>
      <c r="K44" s="22"/>
      <c r="L44" s="22"/>
      <c r="M44" s="12"/>
      <c r="N44" s="12"/>
      <c r="O44" s="14"/>
    </row>
    <row r="45" spans="1:21" x14ac:dyDescent="0.3">
      <c r="A45" s="34"/>
      <c r="B45" s="35"/>
      <c r="C45" s="35"/>
      <c r="D45" s="35"/>
      <c r="E45" s="35"/>
      <c r="F45" s="35"/>
      <c r="G45" s="35"/>
      <c r="H45" s="35"/>
      <c r="I45" s="35"/>
      <c r="J45" s="42"/>
      <c r="K45" s="42"/>
      <c r="L45" s="42"/>
      <c r="M45" s="38"/>
      <c r="N45" s="38"/>
      <c r="O45" s="39"/>
    </row>
    <row r="46" spans="1:21" x14ac:dyDescent="0.3">
      <c r="A46" s="36"/>
      <c r="B46" s="37"/>
      <c r="C46" s="37"/>
      <c r="D46" s="37"/>
      <c r="E46" s="37"/>
      <c r="F46" s="37"/>
      <c r="G46" s="37"/>
      <c r="H46" s="37"/>
      <c r="I46" s="37"/>
      <c r="J46" s="42"/>
      <c r="K46" s="42"/>
      <c r="L46" s="42"/>
      <c r="M46" s="37"/>
      <c r="N46" s="37"/>
      <c r="O46" s="40"/>
    </row>
    <row r="47" spans="1:21" x14ac:dyDescent="0.3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2"/>
      <c r="N47" s="12"/>
      <c r="O47" s="14"/>
    </row>
    <row r="48" spans="1:21" x14ac:dyDescent="0.3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2"/>
      <c r="N48" s="12"/>
      <c r="O48" s="14"/>
    </row>
    <row r="49" spans="1:15" x14ac:dyDescent="0.3">
      <c r="A49" s="41"/>
      <c r="B49" s="42"/>
      <c r="C49" s="42"/>
      <c r="D49" s="47" t="s">
        <v>80</v>
      </c>
      <c r="E49" s="47"/>
      <c r="F49" s="47"/>
      <c r="G49" s="42"/>
      <c r="H49" s="42"/>
      <c r="I49" s="42"/>
      <c r="J49" s="42"/>
      <c r="K49" s="42"/>
      <c r="L49" s="42"/>
      <c r="M49" s="38"/>
      <c r="N49" s="38"/>
      <c r="O49" s="39"/>
    </row>
    <row r="50" spans="1:15" x14ac:dyDescent="0.3">
      <c r="A50" s="41"/>
      <c r="B50" s="42"/>
      <c r="C50" s="42"/>
      <c r="D50" s="47"/>
      <c r="E50" s="47"/>
      <c r="F50" s="47"/>
      <c r="G50" s="42"/>
      <c r="H50" s="42"/>
      <c r="I50" s="42"/>
      <c r="J50" s="42"/>
      <c r="K50" s="42"/>
      <c r="L50" s="42"/>
      <c r="M50" s="37"/>
      <c r="N50" s="37"/>
      <c r="O50" s="40"/>
    </row>
  </sheetData>
  <mergeCells count="125">
    <mergeCell ref="G41:I42"/>
    <mergeCell ref="D41:F42"/>
    <mergeCell ref="A41:C42"/>
    <mergeCell ref="G39:I40"/>
    <mergeCell ref="D39:F40"/>
    <mergeCell ref="A39:C40"/>
    <mergeCell ref="A33:C34"/>
    <mergeCell ref="D33:F34"/>
    <mergeCell ref="G33:I34"/>
    <mergeCell ref="J45:L46"/>
    <mergeCell ref="M45:O46"/>
    <mergeCell ref="A47:C48"/>
    <mergeCell ref="D47:F48"/>
    <mergeCell ref="G47:I48"/>
    <mergeCell ref="J47:L48"/>
    <mergeCell ref="M47:O48"/>
    <mergeCell ref="A49:C50"/>
    <mergeCell ref="D49:F50"/>
    <mergeCell ref="G49:I50"/>
    <mergeCell ref="J49:L50"/>
    <mergeCell ref="M49:O50"/>
    <mergeCell ref="J31:L32"/>
    <mergeCell ref="M31:O32"/>
    <mergeCell ref="A1:C2"/>
    <mergeCell ref="D1:F2"/>
    <mergeCell ref="G1:I2"/>
    <mergeCell ref="J1:L2"/>
    <mergeCell ref="M1:O2"/>
    <mergeCell ref="A3:C4"/>
    <mergeCell ref="D3:F4"/>
    <mergeCell ref="G3:I4"/>
    <mergeCell ref="J3:L4"/>
    <mergeCell ref="M3:O4"/>
    <mergeCell ref="A5:C6"/>
    <mergeCell ref="D5:F6"/>
    <mergeCell ref="G5:I6"/>
    <mergeCell ref="J5:L6"/>
    <mergeCell ref="M5:O6"/>
    <mergeCell ref="A7:C8"/>
    <mergeCell ref="G31:I32"/>
    <mergeCell ref="D31:F32"/>
    <mergeCell ref="A31:C32"/>
    <mergeCell ref="A9:C10"/>
    <mergeCell ref="D9:F10"/>
    <mergeCell ref="G9:I10"/>
    <mergeCell ref="D7:F8"/>
    <mergeCell ref="G7:I8"/>
    <mergeCell ref="J7:L8"/>
    <mergeCell ref="M7:O8"/>
    <mergeCell ref="A13:C14"/>
    <mergeCell ref="D13:F14"/>
    <mergeCell ref="G13:I14"/>
    <mergeCell ref="J13:L14"/>
    <mergeCell ref="M13:O14"/>
    <mergeCell ref="J9:L10"/>
    <mergeCell ref="M9:O10"/>
    <mergeCell ref="A11:C12"/>
    <mergeCell ref="D11:F12"/>
    <mergeCell ref="G11:I12"/>
    <mergeCell ref="J11:L12"/>
    <mergeCell ref="M11:O12"/>
    <mergeCell ref="A15:C16"/>
    <mergeCell ref="D15:F16"/>
    <mergeCell ref="G15:I16"/>
    <mergeCell ref="J15:L16"/>
    <mergeCell ref="M15:O16"/>
    <mergeCell ref="A17:C18"/>
    <mergeCell ref="D17:F18"/>
    <mergeCell ref="G17:I18"/>
    <mergeCell ref="J17:L18"/>
    <mergeCell ref="M17:O18"/>
    <mergeCell ref="A19:C20"/>
    <mergeCell ref="D19:F20"/>
    <mergeCell ref="G19:I20"/>
    <mergeCell ref="J19:L20"/>
    <mergeCell ref="M19:O20"/>
    <mergeCell ref="A21:C22"/>
    <mergeCell ref="D21:F22"/>
    <mergeCell ref="G21:I22"/>
    <mergeCell ref="J21:L22"/>
    <mergeCell ref="M21:O22"/>
    <mergeCell ref="A23:C24"/>
    <mergeCell ref="D23:F24"/>
    <mergeCell ref="G23:I24"/>
    <mergeCell ref="J23:L24"/>
    <mergeCell ref="M23:O24"/>
    <mergeCell ref="A25:C26"/>
    <mergeCell ref="D25:F26"/>
    <mergeCell ref="G25:I26"/>
    <mergeCell ref="J25:L26"/>
    <mergeCell ref="M25:O26"/>
    <mergeCell ref="A27:C28"/>
    <mergeCell ref="D27:F28"/>
    <mergeCell ref="G27:I28"/>
    <mergeCell ref="J27:L28"/>
    <mergeCell ref="M27:O28"/>
    <mergeCell ref="A29:C30"/>
    <mergeCell ref="D29:F30"/>
    <mergeCell ref="G29:I30"/>
    <mergeCell ref="J29:L30"/>
    <mergeCell ref="M29:O30"/>
    <mergeCell ref="A43:C44"/>
    <mergeCell ref="D43:F44"/>
    <mergeCell ref="G43:I44"/>
    <mergeCell ref="J43:L44"/>
    <mergeCell ref="M43:O44"/>
    <mergeCell ref="A45:C46"/>
    <mergeCell ref="D45:F46"/>
    <mergeCell ref="G45:I46"/>
    <mergeCell ref="J33:L34"/>
    <mergeCell ref="M33:O34"/>
    <mergeCell ref="A35:C36"/>
    <mergeCell ref="D35:F36"/>
    <mergeCell ref="G35:I36"/>
    <mergeCell ref="J35:L36"/>
    <mergeCell ref="M35:O36"/>
    <mergeCell ref="A37:C38"/>
    <mergeCell ref="D37:F38"/>
    <mergeCell ref="G37:I38"/>
    <mergeCell ref="J37:L38"/>
    <mergeCell ref="M37:O38"/>
    <mergeCell ref="J39:L40"/>
    <mergeCell ref="M39:O40"/>
    <mergeCell ref="J41:L42"/>
    <mergeCell ref="M41:O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495B-D72C-4951-B00A-B1265D16A123}">
  <dimension ref="A1:AC26"/>
  <sheetViews>
    <sheetView workbookViewId="0">
      <selection activeCell="S7" sqref="S7"/>
    </sheetView>
  </sheetViews>
  <sheetFormatPr defaultRowHeight="14.4" x14ac:dyDescent="0.3"/>
  <sheetData>
    <row r="1" spans="1:29" x14ac:dyDescent="0.3">
      <c r="A1" s="3" t="s">
        <v>0</v>
      </c>
      <c r="B1" s="4"/>
      <c r="C1" s="5"/>
      <c r="D1" s="3" t="s">
        <v>1</v>
      </c>
      <c r="E1" s="4"/>
      <c r="F1" s="5"/>
      <c r="G1" s="3" t="s">
        <v>2</v>
      </c>
      <c r="H1" s="4"/>
      <c r="I1" s="5"/>
      <c r="J1" s="3" t="s">
        <v>3</v>
      </c>
      <c r="K1" s="4"/>
      <c r="L1" s="5"/>
      <c r="M1" s="3" t="s">
        <v>4</v>
      </c>
      <c r="N1" s="4"/>
      <c r="O1" s="5"/>
    </row>
    <row r="2" spans="1:29" ht="15" thickBot="1" x14ac:dyDescent="0.35">
      <c r="A2" s="6"/>
      <c r="B2" s="7"/>
      <c r="C2" s="8"/>
      <c r="D2" s="6"/>
      <c r="E2" s="7"/>
      <c r="F2" s="8"/>
      <c r="G2" s="6"/>
      <c r="H2" s="7"/>
      <c r="I2" s="8"/>
      <c r="J2" s="6"/>
      <c r="K2" s="7"/>
      <c r="L2" s="8"/>
      <c r="M2" s="6"/>
      <c r="N2" s="7"/>
      <c r="O2" s="8"/>
    </row>
    <row r="3" spans="1:29" x14ac:dyDescent="0.3">
      <c r="A3" s="9" t="s">
        <v>33</v>
      </c>
      <c r="B3" s="10"/>
      <c r="C3" s="10"/>
      <c r="D3" s="10" t="s">
        <v>34</v>
      </c>
      <c r="E3" s="10"/>
      <c r="F3" s="10"/>
      <c r="G3" s="10">
        <v>30</v>
      </c>
      <c r="H3" s="10"/>
      <c r="I3" s="10"/>
      <c r="J3" s="43">
        <f>SUM(G3*Overview!$D$15)</f>
        <v>12112.5</v>
      </c>
      <c r="K3" s="43"/>
      <c r="L3" s="43"/>
      <c r="M3" s="10">
        <f>G3/8</f>
        <v>3.75</v>
      </c>
      <c r="N3" s="10"/>
      <c r="O3" s="13"/>
    </row>
    <row r="4" spans="1:29" x14ac:dyDescent="0.3">
      <c r="A4" s="11"/>
      <c r="B4" s="12"/>
      <c r="C4" s="12"/>
      <c r="D4" s="12"/>
      <c r="E4" s="12"/>
      <c r="F4" s="12"/>
      <c r="G4" s="12"/>
      <c r="H4" s="12"/>
      <c r="I4" s="12"/>
      <c r="J4" s="44"/>
      <c r="K4" s="44"/>
      <c r="L4" s="44"/>
      <c r="M4" s="12"/>
      <c r="N4" s="12"/>
      <c r="O4" s="14"/>
    </row>
    <row r="5" spans="1:29" x14ac:dyDescent="0.3">
      <c r="A5" s="15" t="s">
        <v>33</v>
      </c>
      <c r="B5" s="16"/>
      <c r="C5" s="16"/>
      <c r="D5" s="16" t="s">
        <v>35</v>
      </c>
      <c r="E5" s="16"/>
      <c r="F5" s="16"/>
      <c r="G5" s="16">
        <v>6</v>
      </c>
      <c r="H5" s="16"/>
      <c r="I5" s="16"/>
      <c r="J5" s="25" cm="1">
        <f t="array" ref="J5">SUM(G5*'Staffing &amp; Resources'!J7:L8)</f>
        <v>3375</v>
      </c>
      <c r="K5" s="25"/>
      <c r="L5" s="25"/>
      <c r="M5" s="16">
        <f>G5/8</f>
        <v>0.75</v>
      </c>
      <c r="N5" s="16"/>
      <c r="O5" s="19"/>
    </row>
    <row r="6" spans="1:29" x14ac:dyDescent="0.3">
      <c r="A6" s="17"/>
      <c r="B6" s="18"/>
      <c r="C6" s="18"/>
      <c r="D6" s="18"/>
      <c r="E6" s="18"/>
      <c r="F6" s="18"/>
      <c r="G6" s="18"/>
      <c r="H6" s="18"/>
      <c r="I6" s="18"/>
      <c r="J6" s="26"/>
      <c r="K6" s="26"/>
      <c r="L6" s="26"/>
      <c r="M6" s="18"/>
      <c r="N6" s="18"/>
      <c r="O6" s="20"/>
    </row>
    <row r="7" spans="1:29" x14ac:dyDescent="0.3">
      <c r="A7" s="21" t="s">
        <v>33</v>
      </c>
      <c r="B7" s="22"/>
      <c r="C7" s="22"/>
      <c r="D7" s="22" t="s">
        <v>9</v>
      </c>
      <c r="E7" s="22"/>
      <c r="F7" s="22"/>
      <c r="G7" s="22">
        <v>40</v>
      </c>
      <c r="H7" s="22"/>
      <c r="I7" s="22"/>
      <c r="J7" s="23" cm="1">
        <f t="array" ref="J7">SUM(G7*'Staffing &amp; Resources'!$J$7:$L$8)</f>
        <v>22500</v>
      </c>
      <c r="K7" s="23"/>
      <c r="L7" s="23"/>
      <c r="M7" s="22">
        <f>G7/8</f>
        <v>5</v>
      </c>
      <c r="N7" s="22"/>
      <c r="O7" s="48"/>
    </row>
    <row r="8" spans="1:29" x14ac:dyDescent="0.3">
      <c r="A8" s="21"/>
      <c r="B8" s="22"/>
      <c r="C8" s="22"/>
      <c r="D8" s="22"/>
      <c r="E8" s="22"/>
      <c r="F8" s="22"/>
      <c r="G8" s="22"/>
      <c r="H8" s="22"/>
      <c r="I8" s="22"/>
      <c r="J8" s="23"/>
      <c r="K8" s="23"/>
      <c r="L8" s="23"/>
      <c r="M8" s="22"/>
      <c r="N8" s="22"/>
      <c r="O8" s="48"/>
    </row>
    <row r="9" spans="1:29" x14ac:dyDescent="0.3">
      <c r="A9" s="15" t="s">
        <v>33</v>
      </c>
      <c r="B9" s="16"/>
      <c r="C9" s="16"/>
      <c r="D9" s="16" t="s">
        <v>36</v>
      </c>
      <c r="E9" s="16"/>
      <c r="F9" s="16"/>
      <c r="G9" s="16">
        <v>10</v>
      </c>
      <c r="H9" s="16"/>
      <c r="I9" s="16"/>
      <c r="J9" s="25" cm="1">
        <f t="array" ref="J9">SUM(G9*'Staffing &amp; Resources'!$J$7:$L$8)</f>
        <v>5625</v>
      </c>
      <c r="K9" s="25"/>
      <c r="L9" s="25"/>
      <c r="M9" s="16">
        <f>G9/8</f>
        <v>1.25</v>
      </c>
      <c r="N9" s="16"/>
      <c r="O9" s="19"/>
      <c r="T9" s="1"/>
      <c r="W9" s="1"/>
      <c r="X9" s="1"/>
      <c r="Z9" s="1"/>
      <c r="AC9" s="1"/>
    </row>
    <row r="10" spans="1:29" x14ac:dyDescent="0.3">
      <c r="A10" s="17"/>
      <c r="B10" s="18"/>
      <c r="C10" s="18"/>
      <c r="D10" s="18"/>
      <c r="E10" s="18"/>
      <c r="F10" s="18"/>
      <c r="G10" s="18"/>
      <c r="H10" s="18"/>
      <c r="I10" s="18"/>
      <c r="J10" s="26"/>
      <c r="K10" s="26"/>
      <c r="L10" s="26"/>
      <c r="M10" s="18"/>
      <c r="N10" s="18"/>
      <c r="O10" s="20"/>
    </row>
    <row r="11" spans="1:29" x14ac:dyDescent="0.3">
      <c r="A11" s="21" t="s">
        <v>37</v>
      </c>
      <c r="B11" s="22"/>
      <c r="C11" s="22"/>
      <c r="D11" s="22" t="s">
        <v>38</v>
      </c>
      <c r="E11" s="22"/>
      <c r="F11" s="22"/>
      <c r="G11" s="22">
        <v>10</v>
      </c>
      <c r="H11" s="22"/>
      <c r="I11" s="22"/>
      <c r="J11" s="23" cm="1">
        <f t="array" ref="J11">SUM(G11*'Staffing &amp; Resources'!$J$7:$L$8)</f>
        <v>5625</v>
      </c>
      <c r="K11" s="23"/>
      <c r="L11" s="23"/>
      <c r="M11" s="22">
        <f t="shared" ref="M11" si="0">G11/8</f>
        <v>1.25</v>
      </c>
      <c r="N11" s="22"/>
      <c r="O11" s="48"/>
    </row>
    <row r="12" spans="1:29" x14ac:dyDescent="0.3">
      <c r="A12" s="21"/>
      <c r="B12" s="22"/>
      <c r="C12" s="22"/>
      <c r="D12" s="22"/>
      <c r="E12" s="22"/>
      <c r="F12" s="22"/>
      <c r="G12" s="22"/>
      <c r="H12" s="22"/>
      <c r="I12" s="22"/>
      <c r="J12" s="23"/>
      <c r="K12" s="23"/>
      <c r="L12" s="23"/>
      <c r="M12" s="22"/>
      <c r="N12" s="22"/>
      <c r="O12" s="48"/>
    </row>
    <row r="13" spans="1:29" x14ac:dyDescent="0.3">
      <c r="A13" s="15" t="s">
        <v>37</v>
      </c>
      <c r="B13" s="16"/>
      <c r="C13" s="16"/>
      <c r="D13" s="16" t="s">
        <v>39</v>
      </c>
      <c r="E13" s="16"/>
      <c r="F13" s="16"/>
      <c r="G13" s="16">
        <v>10</v>
      </c>
      <c r="H13" s="16"/>
      <c r="I13" s="16"/>
      <c r="J13" s="25" cm="1">
        <f t="array" ref="J13">SUM(G13*'Staffing &amp; Resources'!$J$7:$L$8)</f>
        <v>5625</v>
      </c>
      <c r="K13" s="25"/>
      <c r="L13" s="25"/>
      <c r="M13" s="16">
        <f t="shared" ref="M13" si="1">G13/8</f>
        <v>1.25</v>
      </c>
      <c r="N13" s="16"/>
      <c r="O13" s="19"/>
    </row>
    <row r="14" spans="1:29" x14ac:dyDescent="0.3">
      <c r="A14" s="17"/>
      <c r="B14" s="18"/>
      <c r="C14" s="18"/>
      <c r="D14" s="18"/>
      <c r="E14" s="18"/>
      <c r="F14" s="18"/>
      <c r="G14" s="18"/>
      <c r="H14" s="18"/>
      <c r="I14" s="18"/>
      <c r="J14" s="26"/>
      <c r="K14" s="26"/>
      <c r="L14" s="26"/>
      <c r="M14" s="18"/>
      <c r="N14" s="18"/>
      <c r="O14" s="20"/>
    </row>
    <row r="15" spans="1:29" x14ac:dyDescent="0.3">
      <c r="A15" s="21" t="s">
        <v>37</v>
      </c>
      <c r="B15" s="22"/>
      <c r="C15" s="22"/>
      <c r="D15" s="22" t="s">
        <v>40</v>
      </c>
      <c r="E15" s="22"/>
      <c r="F15" s="22"/>
      <c r="G15" s="22">
        <v>10</v>
      </c>
      <c r="H15" s="22"/>
      <c r="I15" s="22"/>
      <c r="J15" s="23" cm="1">
        <f t="array" ref="J15">SUM(G15*'Staffing &amp; Resources'!$J$7:$L$8)</f>
        <v>5625</v>
      </c>
      <c r="K15" s="23"/>
      <c r="L15" s="23"/>
      <c r="M15" s="22">
        <f t="shared" ref="M15" si="2">G15/8</f>
        <v>1.25</v>
      </c>
      <c r="N15" s="22"/>
      <c r="O15" s="48"/>
    </row>
    <row r="16" spans="1:29" x14ac:dyDescent="0.3">
      <c r="A16" s="21"/>
      <c r="B16" s="22"/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2"/>
      <c r="N16" s="22"/>
      <c r="O16" s="48"/>
    </row>
    <row r="17" spans="1:15" x14ac:dyDescent="0.3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9"/>
    </row>
    <row r="18" spans="1:15" x14ac:dyDescent="0.3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0"/>
    </row>
    <row r="19" spans="1:15" x14ac:dyDescent="0.3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48"/>
    </row>
    <row r="20" spans="1:15" x14ac:dyDescent="0.3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48"/>
    </row>
    <row r="21" spans="1:15" x14ac:dyDescent="0.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9"/>
    </row>
    <row r="22" spans="1:15" x14ac:dyDescent="0.3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0"/>
    </row>
    <row r="23" spans="1:15" x14ac:dyDescent="0.3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48"/>
    </row>
    <row r="24" spans="1:15" x14ac:dyDescent="0.3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48"/>
    </row>
    <row r="25" spans="1:15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9"/>
    </row>
    <row r="26" spans="1:15" x14ac:dyDescent="0.3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0"/>
    </row>
  </sheetData>
  <mergeCells count="65">
    <mergeCell ref="A23:C24"/>
    <mergeCell ref="D23:F24"/>
    <mergeCell ref="G23:I24"/>
    <mergeCell ref="J23:L24"/>
    <mergeCell ref="M23:O24"/>
    <mergeCell ref="A21:C22"/>
    <mergeCell ref="D21:F22"/>
    <mergeCell ref="G21:I22"/>
    <mergeCell ref="J21:L22"/>
    <mergeCell ref="M21:O22"/>
    <mergeCell ref="A25:C26"/>
    <mergeCell ref="D25:F26"/>
    <mergeCell ref="G25:I26"/>
    <mergeCell ref="J25:L26"/>
    <mergeCell ref="M25:O26"/>
    <mergeCell ref="A19:C20"/>
    <mergeCell ref="D19:F20"/>
    <mergeCell ref="G19:I20"/>
    <mergeCell ref="J19:L20"/>
    <mergeCell ref="M19:O20"/>
    <mergeCell ref="A17:C18"/>
    <mergeCell ref="D17:F18"/>
    <mergeCell ref="G17:I18"/>
    <mergeCell ref="J17:L18"/>
    <mergeCell ref="M17:O18"/>
    <mergeCell ref="A15:C16"/>
    <mergeCell ref="D15:F16"/>
    <mergeCell ref="G15:I16"/>
    <mergeCell ref="J15:L16"/>
    <mergeCell ref="M15:O16"/>
    <mergeCell ref="A13:C14"/>
    <mergeCell ref="D13:F14"/>
    <mergeCell ref="G13:I14"/>
    <mergeCell ref="J13:L14"/>
    <mergeCell ref="M13:O14"/>
    <mergeCell ref="A11:C12"/>
    <mergeCell ref="D11:F12"/>
    <mergeCell ref="G11:I12"/>
    <mergeCell ref="J11:L12"/>
    <mergeCell ref="M11:O12"/>
    <mergeCell ref="A9:C10"/>
    <mergeCell ref="D9:F10"/>
    <mergeCell ref="G9:I10"/>
    <mergeCell ref="J9:L10"/>
    <mergeCell ref="M9:O10"/>
    <mergeCell ref="A7:C8"/>
    <mergeCell ref="D7:F8"/>
    <mergeCell ref="G7:I8"/>
    <mergeCell ref="J7:L8"/>
    <mergeCell ref="M7:O8"/>
    <mergeCell ref="A5:C6"/>
    <mergeCell ref="D5:F6"/>
    <mergeCell ref="G5:I6"/>
    <mergeCell ref="J5:L6"/>
    <mergeCell ref="M5:O6"/>
    <mergeCell ref="A3:C4"/>
    <mergeCell ref="D3:F4"/>
    <mergeCell ref="G3:I4"/>
    <mergeCell ref="J3:L4"/>
    <mergeCell ref="M3:O4"/>
    <mergeCell ref="A1:C2"/>
    <mergeCell ref="D1:F2"/>
    <mergeCell ref="G1:I2"/>
    <mergeCell ref="J1:L2"/>
    <mergeCell ref="M1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042D-35A6-4283-B4BB-5491CDD9CE28}">
  <dimension ref="A1:R26"/>
  <sheetViews>
    <sheetView workbookViewId="0">
      <selection activeCell="J15" sqref="J15:L16"/>
    </sheetView>
  </sheetViews>
  <sheetFormatPr defaultRowHeight="14.4" x14ac:dyDescent="0.3"/>
  <sheetData>
    <row r="1" spans="1:18" x14ac:dyDescent="0.3">
      <c r="A1" s="3" t="s">
        <v>41</v>
      </c>
      <c r="B1" s="4"/>
      <c r="C1" s="5"/>
      <c r="D1" s="3" t="s">
        <v>52</v>
      </c>
      <c r="E1" s="4"/>
      <c r="F1" s="5"/>
      <c r="G1" s="3" t="s">
        <v>42</v>
      </c>
      <c r="H1" s="4"/>
      <c r="I1" s="5"/>
      <c r="J1" s="3" t="s">
        <v>43</v>
      </c>
      <c r="K1" s="4"/>
      <c r="L1" s="5"/>
      <c r="M1" s="67" t="s">
        <v>45</v>
      </c>
      <c r="N1" s="68"/>
      <c r="O1" s="69"/>
      <c r="P1" s="67" t="s">
        <v>46</v>
      </c>
      <c r="Q1" s="68"/>
      <c r="R1" s="69"/>
    </row>
    <row r="2" spans="1:18" ht="15" thickBot="1" x14ac:dyDescent="0.35">
      <c r="A2" s="6"/>
      <c r="B2" s="7"/>
      <c r="C2" s="8"/>
      <c r="D2" s="6"/>
      <c r="E2" s="7"/>
      <c r="F2" s="8"/>
      <c r="G2" s="6"/>
      <c r="H2" s="7"/>
      <c r="I2" s="8"/>
      <c r="J2" s="6"/>
      <c r="K2" s="7"/>
      <c r="L2" s="8"/>
      <c r="M2" s="70"/>
      <c r="N2" s="71"/>
      <c r="O2" s="72"/>
      <c r="P2" s="70"/>
      <c r="Q2" s="71"/>
      <c r="R2" s="72"/>
    </row>
    <row r="3" spans="1:18" x14ac:dyDescent="0.3">
      <c r="A3" s="9" t="s">
        <v>44</v>
      </c>
      <c r="B3" s="10"/>
      <c r="C3" s="10"/>
      <c r="D3" s="43">
        <v>419</v>
      </c>
      <c r="E3" s="43"/>
      <c r="F3" s="43"/>
      <c r="G3" s="10">
        <v>1</v>
      </c>
      <c r="H3" s="10"/>
      <c r="I3" s="10"/>
      <c r="J3" s="43">
        <f>D3*G3</f>
        <v>419</v>
      </c>
      <c r="K3" s="43"/>
      <c r="L3" s="49"/>
      <c r="M3" s="73" t="s">
        <v>47</v>
      </c>
      <c r="N3" s="10"/>
      <c r="O3" s="10"/>
      <c r="P3" s="74" t="s">
        <v>48</v>
      </c>
      <c r="Q3" s="74"/>
      <c r="R3" s="75"/>
    </row>
    <row r="4" spans="1:18" x14ac:dyDescent="0.3">
      <c r="A4" s="11"/>
      <c r="B4" s="12"/>
      <c r="C4" s="12"/>
      <c r="D4" s="44"/>
      <c r="E4" s="44"/>
      <c r="F4" s="44"/>
      <c r="G4" s="12"/>
      <c r="H4" s="12"/>
      <c r="I4" s="12"/>
      <c r="J4" s="44"/>
      <c r="K4" s="44"/>
      <c r="L4" s="50"/>
      <c r="M4" s="12"/>
      <c r="N4" s="12"/>
      <c r="O4" s="12"/>
      <c r="P4" s="76"/>
      <c r="Q4" s="76"/>
      <c r="R4" s="77"/>
    </row>
    <row r="5" spans="1:18" x14ac:dyDescent="0.3">
      <c r="A5" s="15" t="s">
        <v>49</v>
      </c>
      <c r="B5" s="16"/>
      <c r="C5" s="16"/>
      <c r="D5" s="25">
        <v>230</v>
      </c>
      <c r="E5" s="25"/>
      <c r="F5" s="25"/>
      <c r="G5" s="16">
        <v>1</v>
      </c>
      <c r="H5" s="16"/>
      <c r="I5" s="16"/>
      <c r="J5" s="51">
        <f>D5*G5</f>
        <v>230</v>
      </c>
      <c r="K5" s="51"/>
      <c r="L5" s="52"/>
      <c r="M5" s="78" t="s">
        <v>50</v>
      </c>
      <c r="N5" s="16"/>
      <c r="O5" s="16"/>
      <c r="P5" s="79" t="s">
        <v>48</v>
      </c>
      <c r="Q5" s="79"/>
      <c r="R5" s="80"/>
    </row>
    <row r="6" spans="1:18" x14ac:dyDescent="0.3">
      <c r="A6" s="17"/>
      <c r="B6" s="18"/>
      <c r="C6" s="18"/>
      <c r="D6" s="26"/>
      <c r="E6" s="26"/>
      <c r="F6" s="26"/>
      <c r="G6" s="18"/>
      <c r="H6" s="18"/>
      <c r="I6" s="18"/>
      <c r="J6" s="53"/>
      <c r="K6" s="53"/>
      <c r="L6" s="54"/>
      <c r="M6" s="18"/>
      <c r="N6" s="18"/>
      <c r="O6" s="18"/>
      <c r="P6" s="81"/>
      <c r="Q6" s="81"/>
      <c r="R6" s="82"/>
    </row>
    <row r="7" spans="1:18" x14ac:dyDescent="0.3">
      <c r="A7" s="55" t="s">
        <v>51</v>
      </c>
      <c r="B7" s="22"/>
      <c r="C7" s="22"/>
      <c r="D7" s="23">
        <v>39</v>
      </c>
      <c r="E7" s="23"/>
      <c r="F7" s="23"/>
      <c r="G7" s="22">
        <v>2</v>
      </c>
      <c r="H7" s="22"/>
      <c r="I7" s="22"/>
      <c r="J7" s="56">
        <f t="shared" ref="J7" si="0">D7*G7</f>
        <v>78</v>
      </c>
      <c r="K7" s="56"/>
      <c r="L7" s="57"/>
      <c r="M7" s="83" t="s">
        <v>55</v>
      </c>
      <c r="N7" s="22"/>
      <c r="O7" s="22"/>
      <c r="P7" s="84" t="s">
        <v>48</v>
      </c>
      <c r="Q7" s="84"/>
      <c r="R7" s="85"/>
    </row>
    <row r="8" spans="1:18" x14ac:dyDescent="0.3">
      <c r="A8" s="55"/>
      <c r="B8" s="22"/>
      <c r="C8" s="22"/>
      <c r="D8" s="23"/>
      <c r="E8" s="23"/>
      <c r="F8" s="23"/>
      <c r="G8" s="22"/>
      <c r="H8" s="22"/>
      <c r="I8" s="22"/>
      <c r="J8" s="58"/>
      <c r="K8" s="58"/>
      <c r="L8" s="59"/>
      <c r="M8" s="22"/>
      <c r="N8" s="22"/>
      <c r="O8" s="22"/>
      <c r="P8" s="84"/>
      <c r="Q8" s="84"/>
      <c r="R8" s="85"/>
    </row>
    <row r="9" spans="1:18" x14ac:dyDescent="0.3">
      <c r="A9" s="15" t="s">
        <v>53</v>
      </c>
      <c r="B9" s="16"/>
      <c r="C9" s="16"/>
      <c r="D9" s="25">
        <v>90</v>
      </c>
      <c r="E9" s="25"/>
      <c r="F9" s="25"/>
      <c r="G9" s="16">
        <v>2</v>
      </c>
      <c r="H9" s="16"/>
      <c r="I9" s="16"/>
      <c r="J9" s="51">
        <f t="shared" ref="J9" si="1">D9*G9</f>
        <v>180</v>
      </c>
      <c r="K9" s="51"/>
      <c r="L9" s="52"/>
      <c r="M9" s="78" t="s">
        <v>54</v>
      </c>
      <c r="N9" s="16"/>
      <c r="O9" s="16"/>
      <c r="P9" s="86" t="s">
        <v>48</v>
      </c>
      <c r="Q9" s="86"/>
      <c r="R9" s="87"/>
    </row>
    <row r="10" spans="1:18" x14ac:dyDescent="0.3">
      <c r="A10" s="17"/>
      <c r="B10" s="18"/>
      <c r="C10" s="18"/>
      <c r="D10" s="26"/>
      <c r="E10" s="26"/>
      <c r="F10" s="26"/>
      <c r="G10" s="18"/>
      <c r="H10" s="18"/>
      <c r="I10" s="18"/>
      <c r="J10" s="53"/>
      <c r="K10" s="53"/>
      <c r="L10" s="54"/>
      <c r="M10" s="18"/>
      <c r="N10" s="18"/>
      <c r="O10" s="18"/>
      <c r="P10" s="88"/>
      <c r="Q10" s="88"/>
      <c r="R10" s="89"/>
    </row>
    <row r="11" spans="1:18" x14ac:dyDescent="0.3">
      <c r="A11" s="55"/>
      <c r="B11" s="22"/>
      <c r="C11" s="22"/>
      <c r="D11" s="23"/>
      <c r="E11" s="23"/>
      <c r="F11" s="23"/>
      <c r="G11" s="22"/>
      <c r="H11" s="22"/>
      <c r="I11" s="22"/>
      <c r="J11" s="60"/>
      <c r="K11" s="60"/>
      <c r="L11" s="61"/>
      <c r="M11" s="22"/>
      <c r="N11" s="22"/>
      <c r="O11" s="22"/>
      <c r="P11" s="22"/>
      <c r="Q11" s="22"/>
      <c r="R11" s="48"/>
    </row>
    <row r="12" spans="1:18" x14ac:dyDescent="0.3">
      <c r="A12" s="55"/>
      <c r="B12" s="22"/>
      <c r="C12" s="22"/>
      <c r="D12" s="23"/>
      <c r="E12" s="23"/>
      <c r="F12" s="23"/>
      <c r="G12" s="22"/>
      <c r="H12" s="22"/>
      <c r="I12" s="22"/>
      <c r="J12" s="62"/>
      <c r="K12" s="62"/>
      <c r="L12" s="63"/>
      <c r="M12" s="22"/>
      <c r="N12" s="22"/>
      <c r="O12" s="22"/>
      <c r="P12" s="22"/>
      <c r="Q12" s="22"/>
      <c r="R12" s="48"/>
    </row>
    <row r="13" spans="1:18" x14ac:dyDescent="0.3">
      <c r="A13" s="15"/>
      <c r="B13" s="16"/>
      <c r="C13" s="16"/>
      <c r="D13" s="25"/>
      <c r="E13" s="25"/>
      <c r="F13" s="25"/>
      <c r="G13" s="16"/>
      <c r="H13" s="16"/>
      <c r="I13" s="16"/>
      <c r="J13" s="51"/>
      <c r="K13" s="51"/>
      <c r="L13" s="52"/>
      <c r="M13" s="16"/>
      <c r="N13" s="16"/>
      <c r="O13" s="16"/>
      <c r="P13" s="16"/>
      <c r="Q13" s="16"/>
      <c r="R13" s="19"/>
    </row>
    <row r="14" spans="1:18" x14ac:dyDescent="0.3">
      <c r="A14" s="17"/>
      <c r="B14" s="18"/>
      <c r="C14" s="18"/>
      <c r="D14" s="26"/>
      <c r="E14" s="26"/>
      <c r="F14" s="26"/>
      <c r="G14" s="18"/>
      <c r="H14" s="18"/>
      <c r="I14" s="18"/>
      <c r="J14" s="53"/>
      <c r="K14" s="53"/>
      <c r="L14" s="54"/>
      <c r="M14" s="18"/>
      <c r="N14" s="18"/>
      <c r="O14" s="18"/>
      <c r="P14" s="18"/>
      <c r="Q14" s="18"/>
      <c r="R14" s="20"/>
    </row>
    <row r="15" spans="1:18" x14ac:dyDescent="0.3">
      <c r="A15" s="55"/>
      <c r="B15" s="22"/>
      <c r="C15" s="22"/>
      <c r="D15" s="23"/>
      <c r="E15" s="23"/>
      <c r="F15" s="23"/>
      <c r="G15" s="22"/>
      <c r="H15" s="22"/>
      <c r="I15" s="22"/>
      <c r="J15" s="23"/>
      <c r="K15" s="23"/>
      <c r="L15" s="64"/>
      <c r="M15" s="22"/>
      <c r="N15" s="22"/>
      <c r="O15" s="22"/>
      <c r="P15" s="22"/>
      <c r="Q15" s="22"/>
      <c r="R15" s="48"/>
    </row>
    <row r="16" spans="1:18" x14ac:dyDescent="0.3">
      <c r="A16" s="55"/>
      <c r="B16" s="22"/>
      <c r="C16" s="22"/>
      <c r="D16" s="23"/>
      <c r="E16" s="23"/>
      <c r="F16" s="23"/>
      <c r="G16" s="22"/>
      <c r="H16" s="22"/>
      <c r="I16" s="22"/>
      <c r="J16" s="23"/>
      <c r="K16" s="23"/>
      <c r="L16" s="64"/>
      <c r="M16" s="22"/>
      <c r="N16" s="22"/>
      <c r="O16" s="22"/>
      <c r="P16" s="22"/>
      <c r="Q16" s="22"/>
      <c r="R16" s="48"/>
    </row>
    <row r="17" spans="1:18" x14ac:dyDescent="0.3">
      <c r="A17" s="15"/>
      <c r="B17" s="16"/>
      <c r="C17" s="16"/>
      <c r="D17" s="25"/>
      <c r="E17" s="25"/>
      <c r="F17" s="25"/>
      <c r="G17" s="16"/>
      <c r="H17" s="16"/>
      <c r="I17" s="16"/>
      <c r="J17" s="25"/>
      <c r="K17" s="25"/>
      <c r="L17" s="65"/>
      <c r="M17" s="16"/>
      <c r="N17" s="16"/>
      <c r="O17" s="16"/>
      <c r="P17" s="16"/>
      <c r="Q17" s="16"/>
      <c r="R17" s="19"/>
    </row>
    <row r="18" spans="1:18" x14ac:dyDescent="0.3">
      <c r="A18" s="17"/>
      <c r="B18" s="18"/>
      <c r="C18" s="18"/>
      <c r="D18" s="26"/>
      <c r="E18" s="26"/>
      <c r="F18" s="26"/>
      <c r="G18" s="18"/>
      <c r="H18" s="18"/>
      <c r="I18" s="18"/>
      <c r="J18" s="26"/>
      <c r="K18" s="26"/>
      <c r="L18" s="66"/>
      <c r="M18" s="18"/>
      <c r="N18" s="18"/>
      <c r="O18" s="18"/>
      <c r="P18" s="18"/>
      <c r="Q18" s="18"/>
      <c r="R18" s="20"/>
    </row>
    <row r="19" spans="1:18" x14ac:dyDescent="0.3">
      <c r="A19" s="55"/>
      <c r="B19" s="22"/>
      <c r="C19" s="22"/>
      <c r="D19" s="23"/>
      <c r="E19" s="23"/>
      <c r="F19" s="23"/>
      <c r="G19" s="22"/>
      <c r="H19" s="22"/>
      <c r="I19" s="22"/>
      <c r="J19" s="23"/>
      <c r="K19" s="23"/>
      <c r="L19" s="64"/>
      <c r="M19" s="22"/>
      <c r="N19" s="22"/>
      <c r="O19" s="22"/>
      <c r="P19" s="22"/>
      <c r="Q19" s="22"/>
      <c r="R19" s="48"/>
    </row>
    <row r="20" spans="1:18" x14ac:dyDescent="0.3">
      <c r="A20" s="55"/>
      <c r="B20" s="22"/>
      <c r="C20" s="22"/>
      <c r="D20" s="23"/>
      <c r="E20" s="23"/>
      <c r="F20" s="23"/>
      <c r="G20" s="22"/>
      <c r="H20" s="22"/>
      <c r="I20" s="22"/>
      <c r="J20" s="23"/>
      <c r="K20" s="23"/>
      <c r="L20" s="64"/>
      <c r="M20" s="22"/>
      <c r="N20" s="22"/>
      <c r="O20" s="22"/>
      <c r="P20" s="22"/>
      <c r="Q20" s="22"/>
      <c r="R20" s="48"/>
    </row>
    <row r="21" spans="1:18" x14ac:dyDescent="0.3">
      <c r="A21" s="15"/>
      <c r="B21" s="16"/>
      <c r="C21" s="16"/>
      <c r="D21" s="25"/>
      <c r="E21" s="25"/>
      <c r="F21" s="25"/>
      <c r="G21" s="16"/>
      <c r="H21" s="16"/>
      <c r="I21" s="16"/>
      <c r="J21" s="25"/>
      <c r="K21" s="25"/>
      <c r="L21" s="65"/>
      <c r="M21" s="16"/>
      <c r="N21" s="16"/>
      <c r="O21" s="16"/>
      <c r="P21" s="16"/>
      <c r="Q21" s="16"/>
      <c r="R21" s="19"/>
    </row>
    <row r="22" spans="1:18" x14ac:dyDescent="0.3">
      <c r="A22" s="17"/>
      <c r="B22" s="18"/>
      <c r="C22" s="18"/>
      <c r="D22" s="26"/>
      <c r="E22" s="26"/>
      <c r="F22" s="26"/>
      <c r="G22" s="18"/>
      <c r="H22" s="18"/>
      <c r="I22" s="18"/>
      <c r="J22" s="26"/>
      <c r="K22" s="26"/>
      <c r="L22" s="66"/>
      <c r="M22" s="18"/>
      <c r="N22" s="18"/>
      <c r="O22" s="18"/>
      <c r="P22" s="18"/>
      <c r="Q22" s="18"/>
      <c r="R22" s="20"/>
    </row>
    <row r="23" spans="1:18" x14ac:dyDescent="0.3">
      <c r="A23" s="55"/>
      <c r="B23" s="22"/>
      <c r="C23" s="22"/>
      <c r="D23" s="23"/>
      <c r="E23" s="23"/>
      <c r="F23" s="23"/>
      <c r="G23" s="22"/>
      <c r="H23" s="22"/>
      <c r="I23" s="22"/>
      <c r="J23" s="23"/>
      <c r="K23" s="23"/>
      <c r="L23" s="64"/>
      <c r="M23" s="22"/>
      <c r="N23" s="22"/>
      <c r="O23" s="22"/>
      <c r="P23" s="22"/>
      <c r="Q23" s="22"/>
      <c r="R23" s="48"/>
    </row>
    <row r="24" spans="1:18" x14ac:dyDescent="0.3">
      <c r="A24" s="55"/>
      <c r="B24" s="22"/>
      <c r="C24" s="22"/>
      <c r="D24" s="23"/>
      <c r="E24" s="23"/>
      <c r="F24" s="23"/>
      <c r="G24" s="22"/>
      <c r="H24" s="22"/>
      <c r="I24" s="22"/>
      <c r="J24" s="23"/>
      <c r="K24" s="23"/>
      <c r="L24" s="64"/>
      <c r="M24" s="22"/>
      <c r="N24" s="22"/>
      <c r="O24" s="22"/>
      <c r="P24" s="22"/>
      <c r="Q24" s="22"/>
      <c r="R24" s="48"/>
    </row>
    <row r="25" spans="1:18" x14ac:dyDescent="0.3">
      <c r="A25" s="15"/>
      <c r="B25" s="16"/>
      <c r="C25" s="16"/>
      <c r="D25" s="25"/>
      <c r="E25" s="25"/>
      <c r="F25" s="25"/>
      <c r="G25" s="16"/>
      <c r="H25" s="16"/>
      <c r="I25" s="16"/>
      <c r="J25" s="25"/>
      <c r="K25" s="25"/>
      <c r="L25" s="65"/>
      <c r="M25" s="16"/>
      <c r="N25" s="16"/>
      <c r="O25" s="16"/>
      <c r="P25" s="16"/>
      <c r="Q25" s="16"/>
      <c r="R25" s="19"/>
    </row>
    <row r="26" spans="1:18" x14ac:dyDescent="0.3">
      <c r="A26" s="17"/>
      <c r="B26" s="18"/>
      <c r="C26" s="18"/>
      <c r="D26" s="26"/>
      <c r="E26" s="26"/>
      <c r="F26" s="26"/>
      <c r="G26" s="18"/>
      <c r="H26" s="18"/>
      <c r="I26" s="18"/>
      <c r="J26" s="26"/>
      <c r="K26" s="26"/>
      <c r="L26" s="66"/>
      <c r="M26" s="18"/>
      <c r="N26" s="18"/>
      <c r="O26" s="18"/>
      <c r="P26" s="18"/>
      <c r="Q26" s="18"/>
      <c r="R26" s="20"/>
    </row>
  </sheetData>
  <mergeCells count="78">
    <mergeCell ref="M25:O26"/>
    <mergeCell ref="P25:R26"/>
    <mergeCell ref="M19:O20"/>
    <mergeCell ref="P19:R20"/>
    <mergeCell ref="M21:O22"/>
    <mergeCell ref="P21:R22"/>
    <mergeCell ref="M23:O24"/>
    <mergeCell ref="P23:R24"/>
    <mergeCell ref="M13:O14"/>
    <mergeCell ref="P13:R14"/>
    <mergeCell ref="M15:O16"/>
    <mergeCell ref="P15:R16"/>
    <mergeCell ref="M17:O18"/>
    <mergeCell ref="P17:R18"/>
    <mergeCell ref="M7:O8"/>
    <mergeCell ref="P7:R8"/>
    <mergeCell ref="M9:O10"/>
    <mergeCell ref="P9:R10"/>
    <mergeCell ref="M11:O12"/>
    <mergeCell ref="P11:R12"/>
    <mergeCell ref="A25:C26"/>
    <mergeCell ref="D25:F26"/>
    <mergeCell ref="G25:I26"/>
    <mergeCell ref="J25:L26"/>
    <mergeCell ref="M1:O2"/>
    <mergeCell ref="A21:C22"/>
    <mergeCell ref="D21:F22"/>
    <mergeCell ref="G21:I22"/>
    <mergeCell ref="J21:L22"/>
    <mergeCell ref="A23:C24"/>
    <mergeCell ref="D23:F24"/>
    <mergeCell ref="G23:I24"/>
    <mergeCell ref="J23:L24"/>
    <mergeCell ref="A17:C18"/>
    <mergeCell ref="D17:F18"/>
    <mergeCell ref="G17:I18"/>
    <mergeCell ref="P1:R2"/>
    <mergeCell ref="M3:O4"/>
    <mergeCell ref="P3:R4"/>
    <mergeCell ref="M5:O6"/>
    <mergeCell ref="P5:R6"/>
    <mergeCell ref="J17:L18"/>
    <mergeCell ref="A19:C20"/>
    <mergeCell ref="D19:F20"/>
    <mergeCell ref="G19:I20"/>
    <mergeCell ref="J19:L20"/>
    <mergeCell ref="A13:C14"/>
    <mergeCell ref="D13:F14"/>
    <mergeCell ref="G13:I14"/>
    <mergeCell ref="J13:L14"/>
    <mergeCell ref="A15:C16"/>
    <mergeCell ref="D15:F16"/>
    <mergeCell ref="G15:I16"/>
    <mergeCell ref="J15:L16"/>
    <mergeCell ref="A9:C10"/>
    <mergeCell ref="D9:F10"/>
    <mergeCell ref="G9:I10"/>
    <mergeCell ref="J9:L10"/>
    <mergeCell ref="A11:C12"/>
    <mergeCell ref="D11:F12"/>
    <mergeCell ref="G11:I12"/>
    <mergeCell ref="J11:L12"/>
    <mergeCell ref="A5:C6"/>
    <mergeCell ref="D5:F6"/>
    <mergeCell ref="G5:I6"/>
    <mergeCell ref="J5:L6"/>
    <mergeCell ref="A7:C8"/>
    <mergeCell ref="D7:F8"/>
    <mergeCell ref="G7:I8"/>
    <mergeCell ref="J7:L8"/>
    <mergeCell ref="A1:C2"/>
    <mergeCell ref="D1:F2"/>
    <mergeCell ref="G1:I2"/>
    <mergeCell ref="J1:L2"/>
    <mergeCell ref="A3:C4"/>
    <mergeCell ref="D3:F4"/>
    <mergeCell ref="G3:I4"/>
    <mergeCell ref="J3:L4"/>
  </mergeCells>
  <hyperlinks>
    <hyperlink ref="M3" r:id="rId1" xr:uid="{8A28847E-7023-4199-8A8E-79FE32168A3A}"/>
    <hyperlink ref="M5" r:id="rId2" xr:uid="{036B6E60-C62D-4096-80C8-1A8552B6F443}"/>
    <hyperlink ref="M9" r:id="rId3" display="https://allegro.cz/produkt/czujnik-odlegosci-vl53l0x-49792d4c-b92b-4d7e-b4a2-6177db786a88?offerId=9363139945&amp;utm_feed=712e6653-4749-4512-b084-b6e297fc9e0b&amp;utm_source=google&amp;utm_medium=cpc&amp;utm_campaign=CZ%3EElectro%3EHome-electro%3E3P%3EPMAX&amp;ev_campaign_id=20035822444&amp;gad" xr:uid="{2827112C-F494-4400-83F9-64468122816B}"/>
    <hyperlink ref="M7" r:id="rId4" xr:uid="{DF98911A-7367-452E-8D71-B48889844F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F70-AD07-41F0-86C0-E361625C57C7}">
  <dimension ref="A1:N10"/>
  <sheetViews>
    <sheetView workbookViewId="0">
      <selection activeCell="F18" sqref="F18"/>
    </sheetView>
  </sheetViews>
  <sheetFormatPr defaultRowHeight="14.4" x14ac:dyDescent="0.3"/>
  <sheetData>
    <row r="1" spans="1:14" x14ac:dyDescent="0.3">
      <c r="A1" s="3" t="s">
        <v>56</v>
      </c>
      <c r="B1" s="4"/>
      <c r="C1" s="5"/>
      <c r="D1" s="3" t="s">
        <v>57</v>
      </c>
      <c r="E1" s="4"/>
      <c r="F1" s="5"/>
      <c r="G1" s="3" t="s">
        <v>58</v>
      </c>
      <c r="H1" s="4"/>
      <c r="I1" s="5"/>
      <c r="J1" s="3" t="s">
        <v>59</v>
      </c>
      <c r="K1" s="4"/>
      <c r="L1" s="5"/>
    </row>
    <row r="2" spans="1:14" ht="15" thickBot="1" x14ac:dyDescent="0.35">
      <c r="A2" s="6"/>
      <c r="B2" s="7"/>
      <c r="C2" s="8"/>
      <c r="D2" s="6"/>
      <c r="E2" s="7"/>
      <c r="F2" s="8"/>
      <c r="G2" s="6"/>
      <c r="H2" s="7"/>
      <c r="I2" s="8"/>
      <c r="J2" s="6"/>
      <c r="K2" s="7"/>
      <c r="L2" s="8"/>
    </row>
    <row r="3" spans="1:14" x14ac:dyDescent="0.3">
      <c r="A3" s="9" t="s">
        <v>60</v>
      </c>
      <c r="B3" s="10"/>
      <c r="C3" s="10"/>
      <c r="D3" s="43">
        <v>60000</v>
      </c>
      <c r="E3" s="43"/>
      <c r="F3" s="43"/>
      <c r="G3" s="90">
        <v>0.54</v>
      </c>
      <c r="H3" s="90"/>
      <c r="I3" s="90"/>
      <c r="J3" s="92">
        <f>D3/160</f>
        <v>375</v>
      </c>
      <c r="K3" s="92"/>
      <c r="L3" s="93"/>
      <c r="N3" s="2"/>
    </row>
    <row r="4" spans="1:14" x14ac:dyDescent="0.3">
      <c r="A4" s="11"/>
      <c r="B4" s="12"/>
      <c r="C4" s="12"/>
      <c r="D4" s="44"/>
      <c r="E4" s="44"/>
      <c r="F4" s="44"/>
      <c r="G4" s="91"/>
      <c r="H4" s="91"/>
      <c r="I4" s="91"/>
      <c r="J4" s="62"/>
      <c r="K4" s="62"/>
      <c r="L4" s="94"/>
      <c r="N4" s="2"/>
    </row>
    <row r="5" spans="1:14" x14ac:dyDescent="0.3">
      <c r="A5" s="15" t="s">
        <v>61</v>
      </c>
      <c r="B5" s="16"/>
      <c r="C5" s="16"/>
      <c r="D5" s="25">
        <v>50000</v>
      </c>
      <c r="E5" s="25"/>
      <c r="F5" s="25"/>
      <c r="G5" s="95">
        <v>0.23</v>
      </c>
      <c r="H5" s="95"/>
      <c r="I5" s="95"/>
      <c r="J5" s="51">
        <f>D5/160</f>
        <v>312.5</v>
      </c>
      <c r="K5" s="51"/>
      <c r="L5" s="52"/>
      <c r="N5" s="2"/>
    </row>
    <row r="6" spans="1:14" x14ac:dyDescent="0.3">
      <c r="A6" s="17"/>
      <c r="B6" s="18"/>
      <c r="C6" s="18"/>
      <c r="D6" s="26"/>
      <c r="E6" s="26"/>
      <c r="F6" s="26"/>
      <c r="G6" s="96"/>
      <c r="H6" s="96"/>
      <c r="I6" s="96"/>
      <c r="J6" s="97"/>
      <c r="K6" s="97"/>
      <c r="L6" s="98"/>
      <c r="N6" s="2"/>
    </row>
    <row r="7" spans="1:14" x14ac:dyDescent="0.3">
      <c r="A7" s="55" t="s">
        <v>62</v>
      </c>
      <c r="B7" s="22"/>
      <c r="C7" s="22"/>
      <c r="D7" s="23">
        <v>90000</v>
      </c>
      <c r="E7" s="23"/>
      <c r="F7" s="23"/>
      <c r="G7" s="99">
        <v>0.23</v>
      </c>
      <c r="H7" s="99"/>
      <c r="I7" s="99"/>
      <c r="J7" s="62">
        <f>D7/160</f>
        <v>562.5</v>
      </c>
      <c r="K7" s="62"/>
      <c r="L7" s="94"/>
    </row>
    <row r="8" spans="1:14" x14ac:dyDescent="0.3">
      <c r="A8" s="55"/>
      <c r="B8" s="22"/>
      <c r="C8" s="22"/>
      <c r="D8" s="23"/>
      <c r="E8" s="23"/>
      <c r="F8" s="23"/>
      <c r="G8" s="99"/>
      <c r="H8" s="99"/>
      <c r="I8" s="99"/>
      <c r="J8" s="44"/>
      <c r="K8" s="44"/>
      <c r="L8" s="50"/>
    </row>
    <row r="9" spans="1:14" x14ac:dyDescent="0.3">
      <c r="A9" s="15"/>
      <c r="B9" s="16"/>
      <c r="C9" s="16"/>
      <c r="D9" s="25"/>
      <c r="E9" s="25"/>
      <c r="F9" s="25"/>
      <c r="G9" s="16"/>
      <c r="H9" s="16"/>
      <c r="I9" s="16"/>
      <c r="J9" s="51"/>
      <c r="K9" s="51"/>
      <c r="L9" s="52"/>
    </row>
    <row r="10" spans="1:14" x14ac:dyDescent="0.3">
      <c r="A10" s="17"/>
      <c r="B10" s="18"/>
      <c r="C10" s="18"/>
      <c r="D10" s="26"/>
      <c r="E10" s="26"/>
      <c r="F10" s="26"/>
      <c r="G10" s="18"/>
      <c r="H10" s="18"/>
      <c r="I10" s="18"/>
      <c r="J10" s="53"/>
      <c r="K10" s="53"/>
      <c r="L10" s="54"/>
    </row>
  </sheetData>
  <mergeCells count="20">
    <mergeCell ref="A9:C10"/>
    <mergeCell ref="D9:F10"/>
    <mergeCell ref="G9:I10"/>
    <mergeCell ref="J9:L10"/>
    <mergeCell ref="A5:C6"/>
    <mergeCell ref="D5:F6"/>
    <mergeCell ref="G5:I6"/>
    <mergeCell ref="J5:L6"/>
    <mergeCell ref="A7:C8"/>
    <mergeCell ref="D7:F8"/>
    <mergeCell ref="G7:I8"/>
    <mergeCell ref="J7:L8"/>
    <mergeCell ref="A1:C2"/>
    <mergeCell ref="D1:F2"/>
    <mergeCell ref="G1:I2"/>
    <mergeCell ref="J1:L2"/>
    <mergeCell ref="A3:C4"/>
    <mergeCell ref="D3:F4"/>
    <mergeCell ref="G3:I4"/>
    <mergeCell ref="J3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C293-EAD3-42B5-8AA5-AF0DDE1E1D4B}">
  <dimension ref="A1:P10"/>
  <sheetViews>
    <sheetView workbookViewId="0">
      <selection activeCell="P22" sqref="P22"/>
    </sheetView>
  </sheetViews>
  <sheetFormatPr defaultRowHeight="14.4" x14ac:dyDescent="0.3"/>
  <cols>
    <col min="1" max="3" width="8.88671875" customWidth="1"/>
    <col min="6" max="6" width="8.88671875" customWidth="1"/>
  </cols>
  <sheetData>
    <row r="1" spans="1:16" x14ac:dyDescent="0.3">
      <c r="A1" s="3" t="s">
        <v>64</v>
      </c>
      <c r="B1" s="4"/>
      <c r="C1" s="5"/>
      <c r="D1" s="3" t="s">
        <v>66</v>
      </c>
      <c r="E1" s="4"/>
      <c r="F1" s="5"/>
      <c r="G1" s="3" t="s">
        <v>67</v>
      </c>
      <c r="H1" s="4"/>
      <c r="I1" s="5"/>
      <c r="J1" s="3" t="s">
        <v>68</v>
      </c>
      <c r="K1" s="4"/>
      <c r="L1" s="5"/>
    </row>
    <row r="2" spans="1:16" ht="15" thickBot="1" x14ac:dyDescent="0.35">
      <c r="A2" s="6"/>
      <c r="B2" s="7"/>
      <c r="C2" s="8"/>
      <c r="D2" s="6"/>
      <c r="E2" s="7"/>
      <c r="F2" s="8"/>
      <c r="G2" s="6"/>
      <c r="H2" s="7"/>
      <c r="I2" s="8"/>
      <c r="J2" s="6"/>
      <c r="K2" s="7"/>
      <c r="L2" s="8"/>
    </row>
    <row r="3" spans="1:16" x14ac:dyDescent="0.3">
      <c r="A3" s="100" t="s">
        <v>65</v>
      </c>
      <c r="B3" s="101"/>
      <c r="C3" s="101"/>
      <c r="D3" s="101">
        <v>100</v>
      </c>
      <c r="E3" s="101"/>
      <c r="F3" s="101"/>
      <c r="G3" s="101" t="s">
        <v>60</v>
      </c>
      <c r="H3" s="101"/>
      <c r="I3" s="101"/>
      <c r="J3" s="92">
        <f>D3*'Staffing &amp; Resources'!J3</f>
        <v>37500</v>
      </c>
      <c r="K3" s="92"/>
      <c r="L3" s="93"/>
      <c r="P3" s="2"/>
    </row>
    <row r="4" spans="1:16" x14ac:dyDescent="0.3">
      <c r="A4" s="102"/>
      <c r="B4" s="103"/>
      <c r="C4" s="103"/>
      <c r="D4" s="103"/>
      <c r="E4" s="103"/>
      <c r="F4" s="103"/>
      <c r="G4" s="103"/>
      <c r="H4" s="103"/>
      <c r="I4" s="103"/>
      <c r="J4" s="62"/>
      <c r="K4" s="62"/>
      <c r="L4" s="94"/>
    </row>
    <row r="5" spans="1:16" x14ac:dyDescent="0.3">
      <c r="A5" s="104"/>
      <c r="B5" s="38"/>
      <c r="C5" s="38"/>
      <c r="D5" s="51"/>
      <c r="E5" s="51"/>
      <c r="F5" s="51"/>
      <c r="G5" s="106"/>
      <c r="H5" s="106"/>
      <c r="I5" s="106"/>
      <c r="J5" s="51"/>
      <c r="K5" s="51"/>
      <c r="L5" s="52"/>
    </row>
    <row r="6" spans="1:16" x14ac:dyDescent="0.3">
      <c r="A6" s="105"/>
      <c r="B6" s="37"/>
      <c r="C6" s="37"/>
      <c r="D6" s="53"/>
      <c r="E6" s="53"/>
      <c r="F6" s="53"/>
      <c r="G6" s="107"/>
      <c r="H6" s="107"/>
      <c r="I6" s="107"/>
      <c r="J6" s="97"/>
      <c r="K6" s="97"/>
      <c r="L6" s="98"/>
    </row>
    <row r="7" spans="1:16" x14ac:dyDescent="0.3">
      <c r="A7" s="112"/>
      <c r="B7" s="31"/>
      <c r="C7" s="31"/>
      <c r="D7" s="60"/>
      <c r="E7" s="60"/>
      <c r="F7" s="60"/>
      <c r="G7" s="108"/>
      <c r="H7" s="108"/>
      <c r="I7" s="108"/>
      <c r="J7" s="110"/>
      <c r="K7" s="110"/>
      <c r="L7" s="111"/>
    </row>
    <row r="8" spans="1:16" x14ac:dyDescent="0.3">
      <c r="A8" s="113"/>
      <c r="B8" s="33"/>
      <c r="C8" s="33"/>
      <c r="D8" s="114"/>
      <c r="E8" s="114"/>
      <c r="F8" s="114"/>
      <c r="G8" s="109"/>
      <c r="H8" s="109"/>
      <c r="I8" s="109"/>
      <c r="J8" s="62"/>
      <c r="K8" s="62"/>
      <c r="L8" s="94"/>
    </row>
    <row r="9" spans="1:16" x14ac:dyDescent="0.3">
      <c r="A9" s="115"/>
      <c r="B9" s="35"/>
      <c r="C9" s="35"/>
      <c r="D9" s="116"/>
      <c r="E9" s="116"/>
      <c r="F9" s="116"/>
      <c r="G9" s="35"/>
      <c r="H9" s="35"/>
      <c r="I9" s="35"/>
      <c r="J9" s="51"/>
      <c r="K9" s="51"/>
      <c r="L9" s="52"/>
    </row>
    <row r="10" spans="1:16" x14ac:dyDescent="0.3">
      <c r="A10" s="105"/>
      <c r="B10" s="37"/>
      <c r="C10" s="37"/>
      <c r="D10" s="53"/>
      <c r="E10" s="53"/>
      <c r="F10" s="53"/>
      <c r="G10" s="37"/>
      <c r="H10" s="37"/>
      <c r="I10" s="37"/>
      <c r="J10" s="53"/>
      <c r="K10" s="53"/>
      <c r="L10" s="54"/>
    </row>
  </sheetData>
  <mergeCells count="20">
    <mergeCell ref="G7:I8"/>
    <mergeCell ref="J7:L8"/>
    <mergeCell ref="G9:I10"/>
    <mergeCell ref="J9:L10"/>
    <mergeCell ref="A7:C8"/>
    <mergeCell ref="D7:F8"/>
    <mergeCell ref="A9:C10"/>
    <mergeCell ref="D9:F10"/>
    <mergeCell ref="G1:I2"/>
    <mergeCell ref="J1:L2"/>
    <mergeCell ref="G3:I4"/>
    <mergeCell ref="J3:L4"/>
    <mergeCell ref="G5:I6"/>
    <mergeCell ref="J5:L6"/>
    <mergeCell ref="A1:C2"/>
    <mergeCell ref="D1:F2"/>
    <mergeCell ref="A3:C4"/>
    <mergeCell ref="D3:F4"/>
    <mergeCell ref="A5:C6"/>
    <mergeCell ref="D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4E0E-5600-4AC6-9223-CACFD606CABD}">
  <dimension ref="A1"/>
  <sheetViews>
    <sheetView workbookViewId="0">
      <selection activeCell="J20" sqref="J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Implementation Tasks</vt:lpstr>
      <vt:lpstr>Non-Implementation Tasks</vt:lpstr>
      <vt:lpstr>Hardware Price</vt:lpstr>
      <vt:lpstr>Staffing &amp; Resources</vt:lpstr>
      <vt:lpstr>Yearly Payments</vt:lpstr>
      <vt:lpstr>Business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Frančák</dc:creator>
  <cp:lastModifiedBy>Jan Frančák</cp:lastModifiedBy>
  <dcterms:created xsi:type="dcterms:W3CDTF">2015-06-05T18:19:34Z</dcterms:created>
  <dcterms:modified xsi:type="dcterms:W3CDTF">2026-03-25T07:46:19Z</dcterms:modified>
</cp:coreProperties>
</file>